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Google Meu Negócio" sheetId="2" state="visible" r:id="rId2"/>
    <sheet name="Resumo" sheetId="3" state="visible" r:id="rId3"/>
    <sheet name="_Lista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A0A0A"/>
      <sz val="12"/>
    </font>
    <font>
      <name val="Arial"/>
      <color rgb="000A0A0A"/>
      <sz val="10"/>
    </font>
  </fonts>
  <fills count="7">
    <fill>
      <patternFill/>
    </fill>
    <fill>
      <patternFill patternType="gray125"/>
    </fill>
    <fill>
      <patternFill patternType="solid">
        <fgColor rgb="00FF0037"/>
      </patternFill>
    </fill>
    <fill>
      <patternFill patternType="solid">
        <fgColor rgb="000A0A0A"/>
      </patternFill>
    </fill>
    <fill>
      <patternFill patternType="solid">
        <fgColor rgb="003A3A42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AEAEC"/>
      </left>
      <right style="thin">
        <color rgb="00EAEAEC"/>
      </right>
      <top style="thin">
        <color rgb="00EAEAEC"/>
      </top>
      <bottom style="thin">
        <color rgb="00EAEA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9" fontId="4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9" fontId="2" fillId="3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color rgb="00166534"/>
      </font>
      <fill>
        <patternFill patternType="solid">
          <fgColor rgb="00DCFCE7"/>
        </patternFill>
      </fill>
    </dxf>
    <dxf>
      <font>
        <color rgb="0092400E"/>
      </font>
      <fill>
        <patternFill patternType="solid">
          <fgColor rgb="00FEF3C7"/>
        </patternFill>
      </fill>
    </dxf>
    <dxf>
      <font>
        <color rgb="00991B1B"/>
      </font>
      <fill>
        <patternFill patternType="solid">
          <fgColor rgb="00FEE2E2"/>
        </patternFill>
      </fill>
    </dxf>
    <dxf>
      <font>
        <color rgb="005A5A62"/>
      </font>
      <fill>
        <patternFill patternType="solid">
          <fgColor rgb="00E5E7EB"/>
        </patternFill>
      </fill>
    </dxf>
    <dxf>
      <font>
        <color rgb="005A5A62"/>
      </font>
      <fill>
        <patternFill patternType="solid">
          <fgColor rgb="00F4F4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 ht="30" customHeight="1">
      <c r="A1" s="1" t="inlineStr">
        <is>
          <t>AUDITORIA DE GOOGLE MEU NEGÓCIO</t>
        </is>
      </c>
    </row>
    <row r="2" ht="18" customHeight="1">
      <c r="A2" s="2" t="inlineStr">
        <is>
          <t>V4 Company  ·  Como usar esta auditoria</t>
        </is>
      </c>
    </row>
    <row r="4">
      <c r="B4" s="3" t="inlineStr">
        <is>
          <t>Para que serve</t>
        </is>
      </c>
    </row>
    <row r="5">
      <c r="B5" s="4" t="inlineStr">
        <is>
          <t>•  Auditar o Perfil da Empresa no Google (Google Business Profile / Google Meu Negócio) de forma padronizada.</t>
        </is>
      </c>
    </row>
    <row r="6">
      <c r="B6" s="4" t="inlineStr">
        <is>
          <t>•  Identificar lacunas de verificação, dados, conteúdo, reputação e SEO local que travam a aparição no mapa e na busca.</t>
        </is>
      </c>
    </row>
    <row r="7">
      <c r="B7" s="4" t="inlineStr">
        <is>
          <t>•  Serve sozinha (sem IA) ou como base para a auditoria assistida do Blackbox.</t>
        </is>
      </c>
    </row>
    <row r="9">
      <c r="B9" s="3" t="inlineStr">
        <is>
          <t>Passo a passo</t>
        </is>
      </c>
    </row>
    <row r="10">
      <c r="B10" s="4" t="inlineStr">
        <is>
          <t>1. Pesquise o negócio no Google e abra o perfil para auditar; confirme se ele é gerenciável pelo cliente.</t>
        </is>
      </c>
    </row>
    <row r="11">
      <c r="B11" s="4" t="inlineStr">
        <is>
          <t>2. Comece pela seção 1.1 (verificação e dados básicos) — sem perfil verificado e NAP consistente, o resto rende menos.</t>
        </is>
      </c>
    </row>
    <row r="12">
      <c r="B12" s="4" t="inlineStr">
        <is>
          <t>3. Percorra as seções na ordem: dados, conteúdo, avaliações, engajamento e SEO local.</t>
        </is>
      </c>
    </row>
    <row r="13">
      <c r="B13" s="4" t="inlineStr">
        <is>
          <t>4. Para cada item: leia 'Como auditar', compare com o 'Benchmark', defina o Status e anote em Observações.</t>
        </is>
      </c>
    </row>
    <row r="14">
      <c r="B14" s="4" t="inlineStr">
        <is>
          <t>5. Quando o Status for Ajustar/Crítico, registre o plano usando a coluna 'Como corrigir' como guia.</t>
        </is>
      </c>
    </row>
    <row r="15">
      <c r="B15" s="4" t="inlineStr">
        <is>
          <t>6. Acompanhe o progresso na aba Resumo (preenche automaticamente).</t>
        </is>
      </c>
    </row>
    <row r="17">
      <c r="B17" s="3" t="inlineStr">
        <is>
          <t>Como ler as colunas</t>
        </is>
      </c>
    </row>
    <row r="18">
      <c r="B18" s="4" t="inlineStr">
        <is>
          <t>•  Como auditar — onde olhar e o que verificar em cada ponto.</t>
        </is>
      </c>
    </row>
    <row r="19">
      <c r="B19" s="4" t="inlineStr">
        <is>
          <t>•  Benchmark / Referência 2026 — número de comparação. '(validar)' = confirmar no contexto do cliente.</t>
        </is>
      </c>
    </row>
    <row r="20">
      <c r="B20" s="4" t="inlineStr">
        <is>
          <t>•  Como corrigir — o que fazer quando o ponto está fora do esperado.</t>
        </is>
      </c>
    </row>
    <row r="21">
      <c r="B21" s="4" t="inlineStr">
        <is>
          <t>•  Criticidade — Crítico (resolver já) · Importante (resolver no ciclo) · Bom ter (ganho marginal).</t>
        </is>
      </c>
    </row>
    <row r="22">
      <c r="B22" s="4" t="inlineStr">
        <is>
          <t>•  Status — Pendente / OK / Ajustar / Crítico / N/A (menu suspenso). A aba Resumo conta sozinha.</t>
        </is>
      </c>
    </row>
    <row r="23">
      <c r="B23" s="4" t="inlineStr">
        <is>
          <t>•  Coluna ✓ — selecione o ✓ para marcar o item como revisado (fica verde).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58" customWidth="1" min="3" max="3"/>
    <col width="26" customWidth="1" min="4" max="4"/>
    <col width="50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1" t="inlineStr">
        <is>
          <t>AUDITORIA DE GOOGLE MEU NEGÓCIO</t>
        </is>
      </c>
    </row>
    <row r="2" ht="18" customHeight="1">
      <c r="A2" s="2" t="inlineStr">
        <is>
          <t>V4 Company  ·  Google Meu Negócio</t>
        </is>
      </c>
    </row>
    <row r="3" ht="24" customHeight="1">
      <c r="A3" s="5" t="inlineStr">
        <is>
          <t>✓</t>
        </is>
      </c>
      <c r="B3" s="5" t="inlineStr">
        <is>
          <t>Item</t>
        </is>
      </c>
      <c r="C3" s="5" t="inlineStr">
        <is>
          <t>Como auditar (passo a passo + pontos de atenção)</t>
        </is>
      </c>
      <c r="D3" s="5" t="inlineStr">
        <is>
          <t>Benchmark / Referência 2026</t>
        </is>
      </c>
      <c r="E3" s="5" t="inlineStr">
        <is>
          <t>Como corrigir</t>
        </is>
      </c>
      <c r="F3" s="5" t="inlineStr">
        <is>
          <t>Criticidade</t>
        </is>
      </c>
      <c r="G3" s="5" t="inlineStr">
        <is>
          <t>Status</t>
        </is>
      </c>
      <c r="H3" s="5" t="inlineStr">
        <is>
          <t>Observações</t>
        </is>
      </c>
    </row>
    <row r="4" ht="20" customHeight="1">
      <c r="A4" s="2" t="inlineStr">
        <is>
          <t>1.1 Verificação e dados básicos</t>
        </is>
      </c>
    </row>
    <row r="5">
      <c r="A5" s="6" t="inlineStr"/>
      <c r="B5" s="7" t="inlineStr">
        <is>
          <t>Perfil verificado e reivindicado</t>
        </is>
      </c>
      <c r="C5" s="7" t="inlineStr">
        <is>
          <t>Acesse o perfil no Google Business Profile e confirme se está verificado (sem aviso de 'verificação pendente' ou 'reivindicar este perfil'). Pesquise o nome da empresa no Google e veja se o painel é gerenciável pelo cliente.</t>
        </is>
      </c>
      <c r="D5" s="7" t="inlineStr">
        <is>
          <t>Perfil 100% verificado</t>
        </is>
      </c>
      <c r="E5" s="7" t="inlineStr">
        <is>
          <t>Reivindique o perfil e conclua a verificação (vídeo, telefone, e-mail ou correspondência). Sem verificação, não há controle nem edição confiável.</t>
        </is>
      </c>
      <c r="F5" s="6" t="inlineStr">
        <is>
          <t>Crítico</t>
        </is>
      </c>
      <c r="G5" s="6" t="inlineStr">
        <is>
          <t>Pendente</t>
        </is>
      </c>
      <c r="H5" s="7" t="inlineStr"/>
    </row>
    <row r="6">
      <c r="A6" s="8" t="inlineStr"/>
      <c r="B6" s="9" t="inlineStr">
        <is>
          <t>NAP consistente (Nome, Endereço, Telefone)</t>
        </is>
      </c>
      <c r="C6" s="9" t="inlineStr">
        <is>
          <t>Compare Nome, Endereço e Telefone do perfil com o site e com outros diretórios (redes sociais, listas locais). Procure divergências de abreviação, número, complemento ou DDD.</t>
        </is>
      </c>
      <c r="D6" s="9" t="inlineStr">
        <is>
          <t>NAP 100% idêntico em todas as fontes</t>
        </is>
      </c>
      <c r="E6" s="9" t="inlineStr">
        <is>
          <t>Padronize NAP exatamente igual em site, perfil e diretórios. Corrija divergências de grafia, endereço e telefone para reforçar a confiança do Google.</t>
        </is>
      </c>
      <c r="F6" s="8" t="inlineStr">
        <is>
          <t>Crítico</t>
        </is>
      </c>
      <c r="G6" s="8" t="inlineStr">
        <is>
          <t>Pendente</t>
        </is>
      </c>
      <c r="H6" s="9" t="inlineStr"/>
    </row>
    <row r="7">
      <c r="A7" s="6" t="inlineStr"/>
      <c r="B7" s="7" t="inlineStr">
        <is>
          <t>Categoria principal correta + secundárias relevantes</t>
        </is>
      </c>
      <c r="C7" s="7" t="inlineStr">
        <is>
          <t>Veja a categoria principal e as secundárias. A principal define o ranqueamento local; categorias erradas ou genéricas perdem buscas. Compare com as categorias dos concorrentes que aparecem no topo.</t>
        </is>
      </c>
      <c r="D7" s="7" t="inlineStr">
        <is>
          <t>1 categoria principal precisa + secundárias pertinentes</t>
        </is>
      </c>
      <c r="E7" s="7" t="inlineStr">
        <is>
          <t>Escolha a categoria principal mais específica do negócio; adicione secundárias que descrevam serviços reais, sem inflar com irrelevantes.</t>
        </is>
      </c>
      <c r="F7" s="6" t="inlineStr">
        <is>
          <t>Importante</t>
        </is>
      </c>
      <c r="G7" s="6" t="inlineStr">
        <is>
          <t>Pendente</t>
        </is>
      </c>
      <c r="H7" s="7" t="inlineStr"/>
    </row>
    <row r="8">
      <c r="A8" s="8" t="inlineStr"/>
      <c r="B8" s="9" t="inlineStr">
        <is>
          <t>Horário de funcionamento atualizado (e horários especiais)</t>
        </is>
      </c>
      <c r="C8" s="9" t="inlineStr">
        <is>
          <t>Confira os horários de cada dia e se há horários especiais cadastrados (feriados, datas comemorativas). Horário errado gera cliente na porta fechada e avaliação negativa.</t>
        </is>
      </c>
      <c r="D8" s="9" t="inlineStr">
        <is>
          <t>Horário atual + feriados configurados</t>
        </is>
      </c>
      <c r="E8" s="9" t="inlineStr">
        <is>
          <t>Atualize os horários regulares e cadastre horários especiais com antecedência nas datas relevantes.</t>
        </is>
      </c>
      <c r="F8" s="8" t="inlineStr">
        <is>
          <t>Importante</t>
        </is>
      </c>
      <c r="G8" s="8" t="inlineStr">
        <is>
          <t>Pendente</t>
        </is>
      </c>
      <c r="H8" s="9" t="inlineStr"/>
    </row>
    <row r="9">
      <c r="A9" s="6" t="inlineStr"/>
      <c r="B9" s="7" t="inlineStr">
        <is>
          <t>Área de atendimento (se aplicável)</t>
        </is>
      </c>
      <c r="C9" s="7" t="inlineStr">
        <is>
          <t>Para negócios que atendem no local do cliente (entrega/serviço), veja se a área de atendimento está definida em vez de endereço físico exposto. Para loja física, o endereço deve aparecer.</t>
        </is>
      </c>
      <c r="D9" s="7" t="inlineStr">
        <is>
          <t>Configuração coerente com o modelo de atendimento</t>
        </is>
      </c>
      <c r="E9" s="7" t="inlineStr">
        <is>
          <t>Defina área de atendimento por região/cidade se for negócio sem vitrine; mantenha endereço visível se houver loja física.</t>
        </is>
      </c>
      <c r="F9" s="6" t="inlineStr">
        <is>
          <t>Bom ter</t>
        </is>
      </c>
      <c r="G9" s="6" t="inlineStr">
        <is>
          <t>Pendente</t>
        </is>
      </c>
      <c r="H9" s="7" t="inlineStr"/>
    </row>
    <row r="10" ht="20" customHeight="1">
      <c r="A10" s="2" t="inlineStr">
        <is>
          <t>1.2 Conteúdo e mídia</t>
        </is>
      </c>
    </row>
    <row r="11">
      <c r="A11" s="8" t="inlineStr"/>
      <c r="B11" s="9" t="inlineStr">
        <is>
          <t>Fotos atualizadas (capa, logo, fachada, ambiente, equipe, produtos)</t>
        </is>
      </c>
      <c r="C11" s="9" t="inlineStr">
        <is>
          <t>Veja a foto de capa, o logo e a galeria. Confira se há fotos reais e recentes de fachada, ambiente interno, equipe e produtos/serviços. Perfis com poucas fotos ou fotos antigas passam abandono.</t>
        </is>
      </c>
      <c r="D11" s="9" t="inlineStr">
        <is>
          <t>Galeria completa e atualizada periodicamente</t>
        </is>
      </c>
      <c r="E11" s="9" t="inlineStr">
        <is>
          <t>Suba fotos de boa qualidade por categoria (capa, logo, fachada, interior, equipe, produtos) e mantenha uma rotina de atualização.</t>
        </is>
      </c>
      <c r="F11" s="8" t="inlineStr">
        <is>
          <t>Importante</t>
        </is>
      </c>
      <c r="G11" s="8" t="inlineStr">
        <is>
          <t>Pendente</t>
        </is>
      </c>
      <c r="H11" s="9" t="inlineStr"/>
    </row>
    <row r="12">
      <c r="A12" s="6" t="inlineStr"/>
      <c r="B12" s="7" t="inlineStr">
        <is>
          <t>Vídeos do negócio</t>
        </is>
      </c>
      <c r="C12" s="7" t="inlineStr">
        <is>
          <t>Cheque se há vídeos curtos do espaço, produtos ou atendimento. Vídeo aumenta engajamento e tempo de permanência no perfil.</t>
        </is>
      </c>
      <c r="D12" s="7" t="inlineStr">
        <is>
          <t>Ao menos 1 vídeo curto (validar)</t>
        </is>
      </c>
      <c r="E12" s="7" t="inlineStr">
        <is>
          <t>Produza vídeos curtos (até ~30s) mostrando ambiente, produto ou atendimento e publique no perfil.</t>
        </is>
      </c>
      <c r="F12" s="6" t="inlineStr">
        <is>
          <t>Bom ter</t>
        </is>
      </c>
      <c r="G12" s="6" t="inlineStr">
        <is>
          <t>Pendente</t>
        </is>
      </c>
      <c r="H12" s="7" t="inlineStr"/>
    </row>
    <row r="13">
      <c r="A13" s="8" t="inlineStr"/>
      <c r="B13" s="9" t="inlineStr">
        <is>
          <t>Produtos/serviços cadastrados com descrição e preço</t>
        </is>
      </c>
      <c r="C13" s="9" t="inlineStr">
        <is>
          <t>Veja se a aba de produtos/serviços está preenchida, com nome, descrição e preço quando aplicável. Itens cadastrados ajudam o cliente a decidir e reforçam palavras-chave.</t>
        </is>
      </c>
      <c r="D13" s="9" t="inlineStr">
        <is>
          <t>Principais itens cadastrados com descrição</t>
        </is>
      </c>
      <c r="E13" s="9" t="inlineStr">
        <is>
          <t>Cadastre os produtos/serviços principais com descrição clara e preço (ou faixa) quando fizer sentido.</t>
        </is>
      </c>
      <c r="F13" s="8" t="inlineStr">
        <is>
          <t>Importante</t>
        </is>
      </c>
      <c r="G13" s="8" t="inlineStr">
        <is>
          <t>Pendente</t>
        </is>
      </c>
      <c r="H13" s="9" t="inlineStr"/>
    </row>
    <row r="14">
      <c r="A14" s="6" t="inlineStr"/>
      <c r="B14" s="7" t="inlineStr">
        <is>
          <t>Descrição da empresa completa com palavras-chave</t>
        </is>
      </c>
      <c r="C14" s="7" t="inlineStr">
        <is>
          <t>Leia a descrição (até 750 caracteres). Veja se explica o que o negócio faz, diferenciais e usa termos que o cliente busca, sem ser propaganda vazia.</t>
        </is>
      </c>
      <c r="D14" s="7" t="inlineStr">
        <is>
          <t>Descrição completa com termos de busca reais</t>
        </is>
      </c>
      <c r="E14" s="7" t="inlineStr">
        <is>
          <t>Reescreva a descrição cobrindo serviços, diferenciais e palavras-chave locais de forma natural, dentro do limite.</t>
        </is>
      </c>
      <c r="F14" s="6" t="inlineStr">
        <is>
          <t>Importante</t>
        </is>
      </c>
      <c r="G14" s="6" t="inlineStr">
        <is>
          <t>Pendente</t>
        </is>
      </c>
      <c r="H14" s="7" t="inlineStr"/>
    </row>
    <row r="15">
      <c r="A15" s="8" t="inlineStr"/>
      <c r="B15" s="9" t="inlineStr">
        <is>
          <t>Atributos (acessibilidade, formas de pagamento, comodidades)</t>
        </is>
      </c>
      <c r="C15" s="9" t="inlineStr">
        <is>
          <t>Confira os atributos marcados: acessibilidade, formas de pagamento, Wi-Fi, estacionamento, atendimento etc. Atributos aparecem na busca e filtram clientes certos.</t>
        </is>
      </c>
      <c r="D15" s="9" t="inlineStr">
        <is>
          <t>Atributos relevantes preenchidos</t>
        </is>
      </c>
      <c r="E15" s="9" t="inlineStr">
        <is>
          <t>Marque todos os atributos verdadeiros e aplicáveis ao negócio para enriquecer o perfil.</t>
        </is>
      </c>
      <c r="F15" s="8" t="inlineStr">
        <is>
          <t>Bom ter</t>
        </is>
      </c>
      <c r="G15" s="8" t="inlineStr">
        <is>
          <t>Pendente</t>
        </is>
      </c>
      <c r="H15" s="9" t="inlineStr"/>
    </row>
    <row r="16" ht="20" customHeight="1">
      <c r="A16" s="2" t="inlineStr">
        <is>
          <t>1.3 Avaliações e reputação</t>
        </is>
      </c>
    </row>
    <row r="17">
      <c r="A17" s="6" t="inlineStr"/>
      <c r="B17" s="7" t="inlineStr">
        <is>
          <t>Volume e nota média de avaliações</t>
        </is>
      </c>
      <c r="C17" s="7" t="inlineStr">
        <is>
          <t>Veja a quantidade de avaliações e a nota média. Compare com os concorrentes locais que aparecem no topo do mapa. Volume baixo reduz confiança e ranqueamento.</t>
        </is>
      </c>
      <c r="D17" s="7" t="inlineStr">
        <is>
          <t>Nota média &gt; 4,0 e volume competitivo vs concorrentes</t>
        </is>
      </c>
      <c r="E17" s="7" t="inlineStr">
        <is>
          <t>Estruture um processo contínuo de captação de avaliações; volume e recência pesam tanto quanto a nota.</t>
        </is>
      </c>
      <c r="F17" s="6" t="inlineStr">
        <is>
          <t>Importante</t>
        </is>
      </c>
      <c r="G17" s="6" t="inlineStr">
        <is>
          <t>Pendente</t>
        </is>
      </c>
      <c r="H17" s="7" t="inlineStr"/>
    </row>
    <row r="18">
      <c r="A18" s="8" t="inlineStr"/>
      <c r="B18" s="9" t="inlineStr">
        <is>
          <t>Responder TODAS as avaliações (positivas e negativas)</t>
        </is>
      </c>
      <c r="C18" s="9" t="inlineStr">
        <is>
          <t>Confira se há respostas às avaliações, inclusive positivas. Avaliações negativas sem resposta passam descaso; responder mostra cuidado e pesa no ranqueamento.</t>
        </is>
      </c>
      <c r="D18" s="9" t="inlineStr">
        <is>
          <t>100% das avaliações respondidas</t>
        </is>
      </c>
      <c r="E18" s="9" t="inlineStr">
        <is>
          <t>Responda toda avaliação: agradeça as positivas e trate as negativas com empatia e solução, sem brigar publicamente.</t>
        </is>
      </c>
      <c r="F18" s="8" t="inlineStr">
        <is>
          <t>Importante</t>
        </is>
      </c>
      <c r="G18" s="8" t="inlineStr">
        <is>
          <t>Pendente</t>
        </is>
      </c>
      <c r="H18" s="9" t="inlineStr"/>
    </row>
    <row r="19">
      <c r="A19" s="6" t="inlineStr"/>
      <c r="B19" s="7" t="inlineStr">
        <is>
          <t>Tempo de resposta às avaliações</t>
        </is>
      </c>
      <c r="C19" s="7" t="inlineStr">
        <is>
          <t>Veja há quanto tempo as avaliações recentes estão sem resposta. Resposta lenta enfraquece a percepção de atendimento.</t>
        </is>
      </c>
      <c r="D19" s="7" t="inlineStr">
        <is>
          <t>Responder em &lt; 24-48h</t>
        </is>
      </c>
      <c r="E19" s="7" t="inlineStr">
        <is>
          <t>Crie rotina de monitoramento diário/semanal para responder avaliações dentro de 24-48h.</t>
        </is>
      </c>
      <c r="F19" s="6" t="inlineStr">
        <is>
          <t>Importante</t>
        </is>
      </c>
      <c r="G19" s="6" t="inlineStr">
        <is>
          <t>Pendente</t>
        </is>
      </c>
      <c r="H19" s="7" t="inlineStr"/>
    </row>
    <row r="20">
      <c r="A20" s="8" t="inlineStr"/>
      <c r="B20" s="9" t="inlineStr">
        <is>
          <t>Processo ativo de solicitar avaliações</t>
        </is>
      </c>
      <c r="C20" s="9" t="inlineStr">
        <is>
          <t>Pergunte como o negócio pede avaliações hoje (link, QR code, pós-venda). Sem processo, o volume estagna e fica refém de clientes insatisfeitos.</t>
        </is>
      </c>
      <c r="D20" s="9" t="inlineStr">
        <is>
          <t>Processo recorrente de solicitação</t>
        </is>
      </c>
      <c r="E20" s="9" t="inlineStr">
        <is>
          <t>Implemente solicitação sistemática (link curto do perfil, QR code no balcão, mensagem pós-atendimento) sem incentivar avaliação falsa.</t>
        </is>
      </c>
      <c r="F20" s="8" t="inlineStr">
        <is>
          <t>Importante</t>
        </is>
      </c>
      <c r="G20" s="8" t="inlineStr">
        <is>
          <t>Pendente</t>
        </is>
      </c>
      <c r="H20" s="9" t="inlineStr"/>
    </row>
    <row r="21">
      <c r="A21" s="6" t="inlineStr"/>
      <c r="B21" s="7" t="inlineStr">
        <is>
          <t>Monitorar avaliações suspeitas/falsas</t>
        </is>
      </c>
      <c r="C21" s="7" t="inlineStr">
        <is>
          <t>Veja se há avaliações claramente falsas, ofensivas ou de spam. Avaliações que violam as políticas podem ser contestadas.</t>
        </is>
      </c>
      <c r="D21" s="7" t="inlineStr">
        <is>
          <t>Avaliações que violam política denunciadas</t>
        </is>
      </c>
      <c r="E21" s="7" t="inlineStr">
        <is>
          <t>Denuncie avaliações falsas/ofensivas pela ferramenta do Google; não responda de forma agressiva enquanto aguarda a análise.</t>
        </is>
      </c>
      <c r="F21" s="6" t="inlineStr">
        <is>
          <t>Bom ter</t>
        </is>
      </c>
      <c r="G21" s="6" t="inlineStr">
        <is>
          <t>Pendente</t>
        </is>
      </c>
      <c r="H21" s="7" t="inlineStr"/>
    </row>
    <row r="22" ht="20" customHeight="1">
      <c r="A22" s="2" t="inlineStr">
        <is>
          <t>1.4 Engajamento (posts e Q&amp;A)</t>
        </is>
      </c>
    </row>
    <row r="23">
      <c r="A23" s="8" t="inlineStr"/>
      <c r="B23" s="9" t="inlineStr">
        <is>
          <t>Posts/novidades publicados com regularidade</t>
        </is>
      </c>
      <c r="C23" s="9" t="inlineStr">
        <is>
          <t>Veja a data do último post e a frequência. Perfis com posts recentes sinalizam atividade ao Google e ao cliente.</t>
        </is>
      </c>
      <c r="D23" s="9" t="inlineStr">
        <is>
          <t>Postar com regularidade (ex: semanal/quinzenal)</t>
        </is>
      </c>
      <c r="E23" s="9" t="inlineStr">
        <is>
          <t>Crie um calendário de posts (novidades, dicas, bastidores) e mantenha cadência mínima.</t>
        </is>
      </c>
      <c r="F23" s="8" t="inlineStr">
        <is>
          <t>Importante</t>
        </is>
      </c>
      <c r="G23" s="8" t="inlineStr">
        <is>
          <t>Pendente</t>
        </is>
      </c>
      <c r="H23" s="9" t="inlineStr"/>
    </row>
    <row r="24">
      <c r="A24" s="6" t="inlineStr"/>
      <c r="B24" s="7" t="inlineStr">
        <is>
          <t>Ofertas e eventos divulgados</t>
        </is>
      </c>
      <c r="C24" s="7" t="inlineStr">
        <is>
          <t>Confira se promoções e eventos são publicados como posts de oferta/evento, com data e CTA. É espaço gratuito de divulgação subutilizado.</t>
        </is>
      </c>
      <c r="D24" s="7" t="inlineStr">
        <is>
          <t>Ofertas/eventos ativos quando houver</t>
        </is>
      </c>
      <c r="E24" s="7" t="inlineStr">
        <is>
          <t>Publique ofertas e eventos com prazo, imagem e botão de ação sempre que houver campanha.</t>
        </is>
      </c>
      <c r="F24" s="6" t="inlineStr">
        <is>
          <t>Bom ter</t>
        </is>
      </c>
      <c r="G24" s="6" t="inlineStr">
        <is>
          <t>Pendente</t>
        </is>
      </c>
      <c r="H24" s="7" t="inlineStr"/>
    </row>
    <row r="25">
      <c r="A25" s="8" t="inlineStr"/>
      <c r="B25" s="9" t="inlineStr">
        <is>
          <t>Perguntas e respostas (Q&amp;A) monitoradas e respondidas</t>
        </is>
      </c>
      <c r="C25" s="9" t="inlineStr">
        <is>
          <t>Veja a seção de perguntas e respostas. Qualquer pessoa pode perguntar e responder; respostas erradas de terceiros ficam públicas se ninguém corrigir.</t>
        </is>
      </c>
      <c r="D25" s="9" t="inlineStr">
        <is>
          <t>Q&amp;A monitorado e respondido pelo negócio</t>
        </is>
      </c>
      <c r="E25" s="9" t="inlineStr">
        <is>
          <t>Responda as perguntas existentes, publique perguntas frequentes já com a resposta oficial e monitore novas entradas.</t>
        </is>
      </c>
      <c r="F25" s="8" t="inlineStr">
        <is>
          <t>Importante</t>
        </is>
      </c>
      <c r="G25" s="8" t="inlineStr">
        <is>
          <t>Pendente</t>
        </is>
      </c>
      <c r="H25" s="9" t="inlineStr"/>
    </row>
    <row r="26">
      <c r="A26" s="6" t="inlineStr"/>
      <c r="B26" s="7" t="inlineStr">
        <is>
          <t>Mensagens/chat ativados e respondidos</t>
        </is>
      </c>
      <c r="C26" s="7" t="inlineStr">
        <is>
          <t>Confira se a função de mensagens está ativa e qual o tempo de resposta. Mensagem ativada e sem resposta gera frustração e mau sinal.</t>
        </is>
      </c>
      <c r="D26" s="7" t="inlineStr">
        <is>
          <t>Chat ativo com resposta rápida (validar)</t>
        </is>
      </c>
      <c r="E26" s="7" t="inlineStr">
        <is>
          <t>Ative mensagens só se houver quem responda rápido; defina rotina/notificações para não deixar mensagens sem retorno.</t>
        </is>
      </c>
      <c r="F26" s="6" t="inlineStr">
        <is>
          <t>Bom ter</t>
        </is>
      </c>
      <c r="G26" s="6" t="inlineStr">
        <is>
          <t>Pendente</t>
        </is>
      </c>
      <c r="H26" s="7" t="inlineStr"/>
    </row>
    <row r="27" ht="20" customHeight="1">
      <c r="A27" s="2" t="inlineStr">
        <is>
          <t>1.5 SEO local e mensuração</t>
        </is>
      </c>
    </row>
    <row r="28">
      <c r="A28" s="8" t="inlineStr"/>
      <c r="B28" s="9" t="inlineStr">
        <is>
          <t>Palavra-chave na descrição e nos serviços</t>
        </is>
      </c>
      <c r="C28" s="9" t="inlineStr">
        <is>
          <t>Veja se os termos que o cliente realmente busca aparecem de forma natural na descrição e nos nomes/descrições de serviços. Sem isso, o perfil perde buscas relevantes.</t>
        </is>
      </c>
      <c r="D28" s="9" t="inlineStr">
        <is>
          <t>Termos de busca locais presentes (sem keyword stuffing)</t>
        </is>
      </c>
      <c r="E28" s="9" t="inlineStr">
        <is>
          <t>Mapeie as buscas locais do nicho e distribua os termos com naturalidade na descrição e nos serviços.</t>
        </is>
      </c>
      <c r="F28" s="8" t="inlineStr">
        <is>
          <t>Importante</t>
        </is>
      </c>
      <c r="G28" s="8" t="inlineStr">
        <is>
          <t>Pendente</t>
        </is>
      </c>
      <c r="H28" s="9" t="inlineStr"/>
    </row>
    <row r="29">
      <c r="A29" s="6" t="inlineStr"/>
      <c r="B29" s="7" t="inlineStr">
        <is>
          <t>Consistência de citações/NAP em diretórios externos</t>
        </is>
      </c>
      <c r="C29" s="7" t="inlineStr">
        <is>
          <t>Pesquise o negócio em diretórios e listas (redes sociais, agregadores locais, sites de avaliação). Veja se NAP está igual em todos. Citações inconsistentes confundem o Google.</t>
        </is>
      </c>
      <c r="D29" s="7" t="inlineStr">
        <is>
          <t>NAP consistente nas principais citações</t>
        </is>
      </c>
      <c r="E29" s="7" t="inlineStr">
        <is>
          <t>Corrija/atualize as citações divergentes nos principais diretórios para alinhar com o NAP oficial.</t>
        </is>
      </c>
      <c r="F29" s="6" t="inlineStr">
        <is>
          <t>Importante</t>
        </is>
      </c>
      <c r="G29" s="6" t="inlineStr">
        <is>
          <t>Pendente</t>
        </is>
      </c>
      <c r="H29" s="7" t="inlineStr"/>
    </row>
    <row r="30">
      <c r="A30" s="8" t="inlineStr"/>
      <c r="B30" s="9" t="inlineStr">
        <is>
          <t>Insights do perfil (buscas, visualizações, ligações, rotas)</t>
        </is>
      </c>
      <c r="C30" s="9" t="inlineStr">
        <is>
          <t>Abra os insights/estatísticas: como as pessoas encontram o perfil (busca direta vs descoberta), visualizações, cliques no site, ligações e pedidos de rota.</t>
        </is>
      </c>
      <c r="D30" s="9" t="inlineStr">
        <is>
          <t>Insights acompanhados periodicamente</t>
        </is>
      </c>
      <c r="E30" s="9" t="inlineStr">
        <is>
          <t>Monitore os insights mensalmente para entender o que move ligações/rotas e ajustar fotos, posts e palavras-chave.</t>
        </is>
      </c>
      <c r="F30" s="8" t="inlineStr">
        <is>
          <t>Bom ter</t>
        </is>
      </c>
      <c r="G30" s="8" t="inlineStr">
        <is>
          <t>Pendente</t>
        </is>
      </c>
      <c r="H30" s="9" t="inlineStr"/>
    </row>
    <row r="31">
      <c r="A31" s="6" t="inlineStr"/>
      <c r="B31" s="7" t="inlineStr">
        <is>
          <t>Link do site com UTM</t>
        </is>
      </c>
      <c r="C31" s="7" t="inlineStr">
        <is>
          <t>Veja se o link do site no perfil tem parâmetros UTM para medir o tráfego vindo do GMN no analytics. Sem UTM, esse tráfego fica invisível ou mal atribuído.</t>
        </is>
      </c>
      <c r="D31" s="7" t="inlineStr">
        <is>
          <t>Link com UTM padronizado</t>
        </is>
      </c>
      <c r="E31" s="7" t="inlineStr">
        <is>
          <t>Adicione UTM ao link do site no perfil (ex: utm_source=google&amp;utm_medium=gmn) para isolar o tráfego do perfil.</t>
        </is>
      </c>
      <c r="F31" s="6" t="inlineStr">
        <is>
          <t>Bom ter</t>
        </is>
      </c>
      <c r="G31" s="6" t="inlineStr">
        <is>
          <t>Pendente</t>
        </is>
      </c>
      <c r="H31" s="7" t="inlineStr"/>
    </row>
    <row r="32">
      <c r="A32" s="8" t="inlineStr"/>
      <c r="B32" s="9" t="inlineStr">
        <is>
          <t>Comparação com concorrentes locais</t>
        </is>
      </c>
      <c r="C32" s="9" t="inlineStr">
        <is>
          <t>Pesquise os termos principais e veja quem aparece no mapa acima do cliente. Compare categorias, nota, volume de avaliações, fotos e posts.</t>
        </is>
      </c>
      <c r="D32" s="9" t="inlineStr">
        <is>
          <t>Perfil competitivo vs top 3 locais</t>
        </is>
      </c>
      <c r="E32" s="9" t="inlineStr">
        <is>
          <t>Use os concorrentes mais bem posicionados como referência de categoria, conteúdo e cadência; feche as lacunas encontradas.</t>
        </is>
      </c>
      <c r="F32" s="8" t="inlineStr">
        <is>
          <t>Bom ter</t>
        </is>
      </c>
      <c r="G32" s="8" t="inlineStr">
        <is>
          <t>Pendente</t>
        </is>
      </c>
      <c r="H32" s="9" t="inlineStr"/>
    </row>
    <row r="33" ht="20" customHeight="1">
      <c r="A33" s="2" t="inlineStr">
        <is>
          <t>1.6 Copy do perfil e das respostas</t>
        </is>
      </c>
    </row>
    <row r="34">
      <c r="A34" s="6" t="inlineStr"/>
      <c r="B34" s="7" t="inlineStr">
        <is>
          <t>Primeira linha da descrição vende, não só descreve</t>
        </is>
      </c>
      <c r="C34" s="7" t="inlineStr">
        <is>
          <t>Leia só a primeira linha da descrição — é o que aparece antes do 'ver mais'. Ela diz o que o negócio resolve e para quem, ou começa com 'fundada em 1998, a empresa...'?</t>
        </is>
      </c>
      <c r="D34" s="7" t="inlineStr">
        <is>
          <t>Primeira linha com o que resolve + para quem</t>
        </is>
      </c>
      <c r="E34" s="7" t="inlineStr">
        <is>
          <t>Reescreva começando pelo benefício e pela especialidade; deixe história e fundação para o fim do texto.</t>
        </is>
      </c>
      <c r="F34" s="6" t="inlineStr">
        <is>
          <t>Importante</t>
        </is>
      </c>
      <c r="G34" s="6" t="inlineStr">
        <is>
          <t>Pendente</t>
        </is>
      </c>
      <c r="H34" s="7" t="inlineStr"/>
    </row>
    <row r="35">
      <c r="A35" s="8" t="inlineStr"/>
      <c r="B35" s="9" t="inlineStr">
        <is>
          <t>Resposta a avaliação negativa tratada como copy pública</t>
        </is>
      </c>
      <c r="C35" s="9" t="inlineStr">
        <is>
          <t>Leia as respostas às avaliações ruins. Elas são lidas por quem está decidindo, não por quem reclamou. Resposta padrão copiada, defensiva ou que discute com o cliente afasta mais do que a própria reclamação.</t>
        </is>
      </c>
      <c r="D35" s="9" t="inlineStr">
        <is>
          <t>Resposta específica, sem discussão, com encaminhamento</t>
        </is>
      </c>
      <c r="E35" s="9" t="inlineStr">
        <is>
          <t>Responda caso a caso: reconheça o ocorrido, diga o que foi feito e ofereça o canal de resolução. Nunca use o mesmo texto em duas respostas.</t>
        </is>
      </c>
      <c r="F35" s="8" t="inlineStr">
        <is>
          <t>Importante</t>
        </is>
      </c>
      <c r="G35" s="8" t="inlineStr">
        <is>
          <t>Pendente</t>
        </is>
      </c>
      <c r="H35" s="9" t="inlineStr"/>
    </row>
    <row r="36">
      <c r="A36" s="6" t="inlineStr"/>
      <c r="B36" s="7" t="inlineStr">
        <is>
          <t>Posts com oferta e próximo passo, não recado interno</t>
        </is>
      </c>
      <c r="C36" s="7" t="inlineStr">
        <is>
          <t>Veja os últimos posts: comunicam algo útil ao cliente (oferta, novidade, prova) com um próximo passo claro, ou são avisos internos e datas comemorativas?</t>
        </is>
      </c>
      <c r="D36" s="7" t="inlineStr">
        <is>
          <t>Post com utilidade + CTA</t>
        </is>
      </c>
      <c r="E36" s="7" t="inlineStr">
        <is>
          <t>Publique com foco em oferta, prova e utilidade, sempre com CTA (ligar, orçar, ver rota). Corte post comemorativo sem função.</t>
        </is>
      </c>
      <c r="F36" s="6" t="inlineStr">
        <is>
          <t>Bom ter</t>
        </is>
      </c>
      <c r="G36" s="6" t="inlineStr">
        <is>
          <t>Pendente</t>
        </is>
      </c>
      <c r="H36" s="7" t="inlineStr"/>
    </row>
  </sheetData>
  <mergeCells count="8">
    <mergeCell ref="A4:H4"/>
    <mergeCell ref="A16:H16"/>
    <mergeCell ref="A2:H2"/>
    <mergeCell ref="A10:H10"/>
    <mergeCell ref="A33:H33"/>
    <mergeCell ref="A1:H1"/>
    <mergeCell ref="A27:H27"/>
    <mergeCell ref="A22:H22"/>
  </mergeCells>
  <conditionalFormatting sqref="G4:G36">
    <cfRule type="cellIs" priority="1" operator="equal" dxfId="0">
      <formula>"OK"</formula>
    </cfRule>
    <cfRule type="cellIs" priority="2" operator="equal" dxfId="1">
      <formula>"Ajustar"</formula>
    </cfRule>
    <cfRule type="cellIs" priority="3" operator="equal" dxfId="2">
      <formula>"Crítico"</formula>
    </cfRule>
    <cfRule type="cellIs" priority="4" operator="equal" dxfId="3">
      <formula>"N/A"</formula>
    </cfRule>
    <cfRule type="cellIs" priority="5" operator="equal" dxfId="4">
      <formula>"Pendente"</formula>
    </cfRule>
  </conditionalFormatting>
  <conditionalFormatting sqref="F4:F36">
    <cfRule type="cellIs" priority="6" operator="equal" dxfId="2">
      <formula>"Crítico"</formula>
    </cfRule>
    <cfRule type="cellIs" priority="7" operator="equal" dxfId="1">
      <formula>"Importante"</formula>
    </cfRule>
    <cfRule type="cellIs" priority="8" operator="equal" dxfId="3">
      <formula>"Bom ter"</formula>
    </cfRule>
  </conditionalFormatting>
  <conditionalFormatting sqref="A4:A36">
    <cfRule type="expression" priority="9" dxfId="0">
      <formula>A4="✓"</formula>
    </cfRule>
  </conditionalFormatting>
  <dataValidations count="2">
    <dataValidation sqref="G4:G36" showDropDown="0" showInputMessage="0" showErrorMessage="0" allowBlank="1" type="list">
      <formula1>_Listas!$A$1:$A$5</formula1>
    </dataValidation>
    <dataValidation sqref="A4:A36" showDropDown="0" showInputMessage="0" showErrorMessage="0" allowBlank="1" type="list">
      <formula1>_Listas!$B$1:$B$1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10" customWidth="1" min="4" max="4"/>
    <col width="10" customWidth="1" min="5" max="5"/>
    <col width="11" customWidth="1" min="6" max="6"/>
    <col width="8" customWidth="1" min="7" max="7"/>
    <col width="14" customWidth="1" min="8" max="8"/>
  </cols>
  <sheetData>
    <row r="1" ht="30" customHeight="1">
      <c r="A1" s="1" t="inlineStr">
        <is>
          <t>RESUMO DA AUDITORIA</t>
        </is>
      </c>
    </row>
    <row r="2" ht="18" customHeight="1">
      <c r="A2" s="2" t="inlineStr">
        <is>
          <t>V4 Company  ·  preenche automaticamente conforme o Status</t>
        </is>
      </c>
    </row>
    <row r="3" ht="24" customHeight="1">
      <c r="A3" s="5" t="inlineStr">
        <is>
          <t>Frente</t>
        </is>
      </c>
      <c r="B3" s="5" t="inlineStr">
        <is>
          <t>Itens</t>
        </is>
      </c>
      <c r="C3" s="5" t="inlineStr">
        <is>
          <t>OK</t>
        </is>
      </c>
      <c r="D3" s="5" t="inlineStr">
        <is>
          <t>Ajustar</t>
        </is>
      </c>
      <c r="E3" s="5" t="inlineStr">
        <is>
          <t>Crítico</t>
        </is>
      </c>
      <c r="F3" s="5" t="inlineStr">
        <is>
          <t>Pendente</t>
        </is>
      </c>
      <c r="G3" s="5" t="inlineStr">
        <is>
          <t>N/A</t>
        </is>
      </c>
      <c r="H3" s="5" t="inlineStr">
        <is>
          <t>% revisado</t>
        </is>
      </c>
    </row>
    <row r="4">
      <c r="A4" s="10" t="inlineStr">
        <is>
          <t>Google Meu Negócio</t>
        </is>
      </c>
      <c r="B4" s="11">
        <f>SUM(C4:G4)</f>
        <v/>
      </c>
      <c r="C4" s="11">
        <f>COUNTIF('Google Meu Negócio'!G:G,"OK")</f>
        <v/>
      </c>
      <c r="D4" s="11">
        <f>COUNTIF('Google Meu Negócio'!G:G,"Ajustar")</f>
        <v/>
      </c>
      <c r="E4" s="11">
        <f>COUNTIF('Google Meu Negócio'!G:G,"Crítico")</f>
        <v/>
      </c>
      <c r="F4" s="11">
        <f>COUNTIF('Google Meu Negócio'!G:G,"Pendente")</f>
        <v/>
      </c>
      <c r="G4" s="11">
        <f>COUNTIF('Google Meu Negócio'!G:G,"N/A")</f>
        <v/>
      </c>
      <c r="H4" s="12">
        <f>IF(B4=0,0,(C4+G4)/B4)</f>
        <v/>
      </c>
    </row>
    <row r="5">
      <c r="A5" s="13" t="inlineStr">
        <is>
          <t>TOTAL</t>
        </is>
      </c>
      <c r="B5" s="14">
        <f>SUM(B4:B4)</f>
        <v/>
      </c>
      <c r="C5" s="14">
        <f>SUM(C4:C4)</f>
        <v/>
      </c>
      <c r="D5" s="14">
        <f>SUM(D4:D4)</f>
        <v/>
      </c>
      <c r="E5" s="14">
        <f>SUM(E4:E4)</f>
        <v/>
      </c>
      <c r="F5" s="14">
        <f>SUM(F4:F4)</f>
        <v/>
      </c>
      <c r="G5" s="14">
        <f>SUM(G4:G4)</f>
        <v/>
      </c>
      <c r="H5" s="15">
        <f>IF(B5=0,0,(C5+G5)/B5)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Pendente</t>
        </is>
      </c>
      <c r="B1" t="inlineStr">
        <is>
          <t>✓</t>
        </is>
      </c>
    </row>
    <row r="2">
      <c r="A2" t="inlineStr">
        <is>
          <t>OK</t>
        </is>
      </c>
    </row>
    <row r="3">
      <c r="A3" t="inlineStr">
        <is>
          <t>Ajustar</t>
        </is>
      </c>
    </row>
    <row r="4">
      <c r="A4" t="inlineStr">
        <is>
          <t>Crítico</t>
        </is>
      </c>
    </row>
    <row r="5">
      <c r="A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2026-07-21T14:57:23Z</dcterms:created>
  <dcterms:modified xsi:type="dcterms:W3CDTF">2026-07-21T14:57:23Z</dcterms:modified>
</cp:coreProperties>
</file>