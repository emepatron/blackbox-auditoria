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CRM" sheetId="2" state="visible" r:id="rId2"/>
    <sheet name="Resumo" sheetId="3" state="visible" r:id="rId3"/>
    <sheet name="_Lista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A0A0A"/>
      <sz val="12"/>
    </font>
    <font>
      <name val="Arial"/>
      <color rgb="000A0A0A"/>
      <sz val="10"/>
    </font>
  </fonts>
  <fills count="7">
    <fill>
      <patternFill/>
    </fill>
    <fill>
      <patternFill patternType="gray125"/>
    </fill>
    <fill>
      <patternFill patternType="solid">
        <fgColor rgb="00FF0037"/>
      </patternFill>
    </fill>
    <fill>
      <patternFill patternType="solid">
        <fgColor rgb="000A0A0A"/>
      </patternFill>
    </fill>
    <fill>
      <patternFill patternType="solid">
        <fgColor rgb="003A3A42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AEAEC"/>
      </left>
      <right style="thin">
        <color rgb="00EAEAEC"/>
      </right>
      <top style="thin">
        <color rgb="00EAEAEC"/>
      </top>
      <bottom style="thin">
        <color rgb="00EAEA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9" fontId="4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9" fontId="2" fillId="3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color rgb="00166534"/>
      </font>
      <fill>
        <patternFill patternType="solid">
          <fgColor rgb="00DCFCE7"/>
        </patternFill>
      </fill>
    </dxf>
    <dxf>
      <font>
        <color rgb="0092400E"/>
      </font>
      <fill>
        <patternFill patternType="solid">
          <fgColor rgb="00FEF3C7"/>
        </patternFill>
      </fill>
    </dxf>
    <dxf>
      <font>
        <color rgb="00991B1B"/>
      </font>
      <fill>
        <patternFill patternType="solid">
          <fgColor rgb="00FEE2E2"/>
        </patternFill>
      </fill>
    </dxf>
    <dxf>
      <font>
        <color rgb="005A5A62"/>
      </font>
      <fill>
        <patternFill patternType="solid">
          <fgColor rgb="00E5E7EB"/>
        </patternFill>
      </fill>
    </dxf>
    <dxf>
      <font>
        <color rgb="005A5A62"/>
      </font>
      <fill>
        <patternFill patternType="solid">
          <fgColor rgb="00F4F4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 ht="30" customHeight="1">
      <c r="A1" s="1" t="inlineStr">
        <is>
          <t>AUDITORIA DE CRM</t>
        </is>
      </c>
    </row>
    <row r="2" ht="18" customHeight="1">
      <c r="A2" s="2" t="inlineStr">
        <is>
          <t>V4 Company  ·  Como usar esta auditoria</t>
        </is>
      </c>
    </row>
    <row r="4">
      <c r="B4" s="3" t="inlineStr">
        <is>
          <t>Para que serve</t>
        </is>
      </c>
    </row>
    <row r="5">
      <c r="B5" s="4" t="inlineStr">
        <is>
          <t>•  Auditar o CRM do cliente de forma padronizada, independente da ferramenta (Kommo, HubSpot, RD, Pipedrive ou planilha).</t>
        </is>
      </c>
    </row>
    <row r="6">
      <c r="B6" s="4" t="inlineStr">
        <is>
          <t>•  Identificar falhas de configuração, qualidade de dados, gargalos de funil e lentidão de atendimento que travam a conversão.</t>
        </is>
      </c>
    </row>
    <row r="7">
      <c r="B7" s="4" t="inlineStr">
        <is>
          <t>•  Serve sozinha (sem IA) ou como base para a auditoria assistida do Blackbox.</t>
        </is>
      </c>
    </row>
    <row r="9">
      <c r="B9" s="3" t="inlineStr">
        <is>
          <t>Passo a passo</t>
        </is>
      </c>
    </row>
    <row r="10">
      <c r="B10" s="4" t="inlineStr">
        <is>
          <t>1. Anote no topo qual ferramenta de CRM o cliente usa e o contexto comercial nas Observações, se quiser.</t>
        </is>
      </c>
    </row>
    <row r="11">
      <c r="B11" s="4" t="inlineStr">
        <is>
          <t>2. Comece por '1.1 Estrutura e configuração' — sem a base certa, o resto não se sustenta.</t>
        </is>
      </c>
    </row>
    <row r="12">
      <c r="B12" s="4" t="inlineStr">
        <is>
          <t>3. Siga as seções na ordem: qualidade dos dados, funil, velocidade e gestão.</t>
        </is>
      </c>
    </row>
    <row r="13">
      <c r="B13" s="4" t="inlineStr">
        <is>
          <t>4. Para cada item: leia 'Como auditar', compare com o 'Benchmark', defina o Status e anote em Observações.</t>
        </is>
      </c>
    </row>
    <row r="14">
      <c r="B14" s="4" t="inlineStr">
        <is>
          <t>5. Quando o Status for Ajustar/Crítico, use a coluna 'Como corrigir' como guia do plano de ação.</t>
        </is>
      </c>
    </row>
    <row r="15">
      <c r="B15" s="4" t="inlineStr">
        <is>
          <t>6. Acompanhe o progresso na aba Resumo (preenche automaticamente).</t>
        </is>
      </c>
    </row>
    <row r="17">
      <c r="B17" s="3" t="inlineStr">
        <is>
          <t>Como ler as colunas</t>
        </is>
      </c>
    </row>
    <row r="18">
      <c r="B18" s="4" t="inlineStr">
        <is>
          <t>•  Como auditar — onde olhar e o que verificar em cada ponto.</t>
        </is>
      </c>
    </row>
    <row r="19">
      <c r="B19" s="4" t="inlineStr">
        <is>
          <t>•  Benchmark / Referência 2026 — número de comparação. '(validar)' = confirmar no contexto do cliente.</t>
        </is>
      </c>
    </row>
    <row r="20">
      <c r="B20" s="4" t="inlineStr">
        <is>
          <t>•  Como corrigir — o que fazer quando o ponto está fora do esperado.</t>
        </is>
      </c>
    </row>
    <row r="21">
      <c r="B21" s="4" t="inlineStr">
        <is>
          <t>•  Criticidade — Crítico (resolver já) · Importante (resolver no ciclo) · Bom ter (ganho marginal).</t>
        </is>
      </c>
    </row>
    <row r="22">
      <c r="B22" s="4" t="inlineStr">
        <is>
          <t>•  Status — Pendente / OK / Ajustar / Crítico / N/A (menu suspenso). A aba Resumo conta sozinha.</t>
        </is>
      </c>
    </row>
    <row r="23">
      <c r="B23" s="4" t="inlineStr">
        <is>
          <t>•  Coluna ✓ — selecione o ✓ para marcar o item como revisado (fica verde).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58" customWidth="1" min="3" max="3"/>
    <col width="26" customWidth="1" min="4" max="4"/>
    <col width="50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1" t="inlineStr">
        <is>
          <t>AUDITORIA DE CRM</t>
        </is>
      </c>
    </row>
    <row r="2" ht="18" customHeight="1">
      <c r="A2" s="2" t="inlineStr">
        <is>
          <t>V4 Company  ·  CRM</t>
        </is>
      </c>
    </row>
    <row r="3" ht="24" customHeight="1">
      <c r="A3" s="5" t="inlineStr">
        <is>
          <t>✓</t>
        </is>
      </c>
      <c r="B3" s="5" t="inlineStr">
        <is>
          <t>Item</t>
        </is>
      </c>
      <c r="C3" s="5" t="inlineStr">
        <is>
          <t>Como auditar (passo a passo + pontos de atenção)</t>
        </is>
      </c>
      <c r="D3" s="5" t="inlineStr">
        <is>
          <t>Benchmark / Referência 2026</t>
        </is>
      </c>
      <c r="E3" s="5" t="inlineStr">
        <is>
          <t>Como corrigir</t>
        </is>
      </c>
      <c r="F3" s="5" t="inlineStr">
        <is>
          <t>Criticidade</t>
        </is>
      </c>
      <c r="G3" s="5" t="inlineStr">
        <is>
          <t>Status</t>
        </is>
      </c>
      <c r="H3" s="5" t="inlineStr">
        <is>
          <t>Observações</t>
        </is>
      </c>
    </row>
    <row r="4" ht="20" customHeight="1">
      <c r="A4" s="2" t="inlineStr">
        <is>
          <t>1.1 Estrutura e configuração</t>
        </is>
      </c>
    </row>
    <row r="5">
      <c r="A5" s="6" t="inlineStr"/>
      <c r="B5" s="7" t="inlineStr">
        <is>
          <t>Etapas do funil refletem o processo real de vendas</t>
        </is>
      </c>
      <c r="C5" s="7" t="inlineStr">
        <is>
          <t>Abra o pipeline e compare as etapas com como o time realmente vende (do primeiro contato ao fechamento). Procure etapas genéricas demais ('Em negociação') ou que ninguém usa. Cada etapa deve marcar uma mudança real de compromisso do lead.</t>
        </is>
      </c>
      <c r="D5" s="7" t="inlineStr">
        <is>
          <t>Etapas = passos reais do processo</t>
        </is>
      </c>
      <c r="E5" s="7" t="inlineStr">
        <is>
          <t>Redesenhe o funil junto com o time comercial: cada etapa deve ter um critério claro de entrada e saída. Remova etapas mortas e desdobre as que escondem várias decisões.</t>
        </is>
      </c>
      <c r="F5" s="6" t="inlineStr">
        <is>
          <t>Importante</t>
        </is>
      </c>
      <c r="G5" s="6" t="inlineStr">
        <is>
          <t>Pendente</t>
        </is>
      </c>
      <c r="H5" s="7" t="inlineStr"/>
    </row>
    <row r="6">
      <c r="A6" s="8" t="inlineStr"/>
      <c r="B6" s="9" t="inlineStr">
        <is>
          <t>Nomenclatura de etapas clara e orientada à ação</t>
        </is>
      </c>
      <c r="C6" s="9" t="inlineStr">
        <is>
          <t>Leia o nome de cada etapa. Bons nomes indicam o que precisa acontecer para avançar ('Proposta enviada', 'Reunião agendada'), não estados vagos ('Andamento', 'Quente').</t>
        </is>
      </c>
      <c r="D6" s="9" t="inlineStr">
        <is>
          <t>Nome indica próximo passo</t>
        </is>
      </c>
      <c r="E6" s="9" t="inlineStr">
        <is>
          <t>Renomeie etapas para verbos/marcos objetivos. Padronize com o time para que todos leiam o funil da mesma forma.</t>
        </is>
      </c>
      <c r="F6" s="8" t="inlineStr">
        <is>
          <t>Bom ter</t>
        </is>
      </c>
      <c r="G6" s="8" t="inlineStr">
        <is>
          <t>Pendente</t>
        </is>
      </c>
      <c r="H6" s="9" t="inlineStr"/>
    </row>
    <row r="7">
      <c r="A7" s="6" t="inlineStr"/>
      <c r="B7" s="7" t="inlineStr">
        <is>
          <t>Campos obrigatórios definidos por etapa</t>
        </is>
      </c>
      <c r="C7" s="7" t="inlineStr">
        <is>
          <t>Veja se há campos que travam o avanço sem preenchimento (ex.: valor e origem antes de virar oportunidade). Sem isso, o funil enche de cards sem dados.</t>
        </is>
      </c>
      <c r="D7" s="7" t="inlineStr">
        <is>
          <t>Campos-chave obrigatórios por etapa</t>
        </is>
      </c>
      <c r="E7" s="7" t="inlineStr">
        <is>
          <t>Defina campos obrigatórios por etapa no CRM (origem, valor, responsável). Em planilha, use validação de dados/formatação condicional para sinalizar lacunas.</t>
        </is>
      </c>
      <c r="F7" s="6" t="inlineStr">
        <is>
          <t>Importante</t>
        </is>
      </c>
      <c r="G7" s="6" t="inlineStr">
        <is>
          <t>Pendente</t>
        </is>
      </c>
      <c r="H7" s="7" t="inlineStr"/>
    </row>
    <row r="8">
      <c r="A8" s="8" t="inlineStr"/>
      <c r="B8" s="9" t="inlineStr">
        <is>
          <t>Origem/fonte do lead registrada em todo card</t>
        </is>
      </c>
      <c r="C8" s="9" t="inlineStr">
        <is>
          <t>Confira se cada lead tem origem preenchida (mídia paga, orgânico, indicação, campanha específica). Esse é o elo que liga investimento em mídia a venda. Sem ele, não dá para medir ROI por canal.</t>
        </is>
      </c>
      <c r="D8" s="9" t="inlineStr">
        <is>
          <t>100% dos leads com origem</t>
        </is>
      </c>
      <c r="E8" s="9" t="inlineStr">
        <is>
          <t>Torne origem obrigatória na entrada. Padronize valores via lista fixa (não texto livre) e configure captura automática via UTM/integração quando possível.</t>
        </is>
      </c>
      <c r="F8" s="8" t="inlineStr">
        <is>
          <t>Crítico</t>
        </is>
      </c>
      <c r="G8" s="8" t="inlineStr">
        <is>
          <t>Pendente</t>
        </is>
      </c>
      <c r="H8" s="9" t="inlineStr"/>
    </row>
    <row r="9">
      <c r="A9" s="6" t="inlineStr"/>
      <c r="B9" s="7" t="inlineStr">
        <is>
          <t>Automações básicas configuradas (distribuição, lembretes)</t>
        </is>
      </c>
      <c r="C9" s="7" t="inlineStr">
        <is>
          <t>Veja se há distribuição automática de leads para vendedores, lembretes de follow-up e notificação de lead novo. Processo 100% manual gera lead esquecido e resposta lenta.</t>
        </is>
      </c>
      <c r="D9" s="7" t="inlineStr">
        <is>
          <t>Distribuição + lembrete ativos</t>
        </is>
      </c>
      <c r="E9" s="7" t="inlineStr">
        <is>
          <t>Configure round-robin ou regra de distribuição, lembrete de tarefa por etapa e alerta de lead novo. Em planilha, defina rotina manual fixa de checagem.</t>
        </is>
      </c>
      <c r="F9" s="6" t="inlineStr">
        <is>
          <t>Importante</t>
        </is>
      </c>
      <c r="G9" s="6" t="inlineStr">
        <is>
          <t>Pendente</t>
        </is>
      </c>
      <c r="H9" s="7" t="inlineStr"/>
    </row>
    <row r="10" ht="20" customHeight="1">
      <c r="A10" s="2" t="inlineStr">
        <is>
          <t>1.2 Qualidade dos dados</t>
        </is>
      </c>
    </row>
    <row r="11">
      <c r="A11" s="8" t="inlineStr"/>
      <c r="B11" s="9" t="inlineStr">
        <is>
          <t>Contatos e empresas duplicados</t>
        </is>
      </c>
      <c r="C11" s="9" t="inlineStr">
        <is>
          <t>Busque duplicados por e-mail, telefone e nome. Duplicidade infla o funil, gera abordagem repetida e distorce a taxa de conversão.</t>
        </is>
      </c>
      <c r="D11" s="9" t="inlineStr">
        <is>
          <t>Taxa de duplicados próxima de 0%</t>
        </is>
      </c>
      <c r="E11" s="9" t="inlineStr">
        <is>
          <t>Rode deduplicação (merge) por e-mail/telefone. Ative regra anti-duplicidade na criação de novos registros.</t>
        </is>
      </c>
      <c r="F11" s="8" t="inlineStr">
        <is>
          <t>Importante</t>
        </is>
      </c>
      <c r="G11" s="8" t="inlineStr">
        <is>
          <t>Pendente</t>
        </is>
      </c>
      <c r="H11" s="9" t="inlineStr"/>
    </row>
    <row r="12">
      <c r="A12" s="6" t="inlineStr"/>
      <c r="B12" s="7" t="inlineStr">
        <is>
          <t>Campos-chave preenchidos</t>
        </is>
      </c>
      <c r="C12" s="7" t="inlineStr">
        <is>
          <t>Amostre cards e veja o preenchimento de nome, telefone, e-mail, origem e valor. Campo vazio em massa indica processo de entrada frouxo.</t>
        </is>
      </c>
      <c r="D12" s="7" t="inlineStr">
        <is>
          <t>Campos-chave &gt; 90% preenchidos</t>
        </is>
      </c>
      <c r="E12" s="7" t="inlineStr">
        <is>
          <t>Torne os campos críticos obrigatórios na criação. Faça mutirão de enriquecimento dos registros ativos antes de cobrar a regra.</t>
        </is>
      </c>
      <c r="F12" s="6" t="inlineStr">
        <is>
          <t>Importante</t>
        </is>
      </c>
      <c r="G12" s="6" t="inlineStr">
        <is>
          <t>Pendente</t>
        </is>
      </c>
      <c r="H12" s="7" t="inlineStr"/>
    </row>
    <row r="13">
      <c r="A13" s="8" t="inlineStr"/>
      <c r="B13" s="9" t="inlineStr">
        <is>
          <t>Padronização de telefone e e-mail</t>
        </is>
      </c>
      <c r="C13" s="9" t="inlineStr">
        <is>
          <t>Veja se telefone e e-mail seguem formato consistente (DDD, e-mail válido). Formato bagunçado quebra automações de WhatsApp/e-mail e integrações.</t>
        </is>
      </c>
      <c r="D13" s="9" t="inlineStr">
        <is>
          <t>Formato padronizado e validado</t>
        </is>
      </c>
      <c r="E13" s="9" t="inlineStr">
        <is>
          <t>Aplique máscara/validação no campo. Higienize a base atual (corrige DDI/DDD, remove e-mails inválidos).</t>
        </is>
      </c>
      <c r="F13" s="8" t="inlineStr">
        <is>
          <t>Bom ter</t>
        </is>
      </c>
      <c r="G13" s="8" t="inlineStr">
        <is>
          <t>Pendente</t>
        </is>
      </c>
      <c r="H13" s="9" t="inlineStr"/>
    </row>
    <row r="14">
      <c r="A14" s="6" t="inlineStr"/>
      <c r="B14" s="7" t="inlineStr">
        <is>
          <t>Leads sem responsável atribuído</t>
        </is>
      </c>
      <c r="C14" s="7" t="inlineStr">
        <is>
          <t>Filtre cards sem dono. Lead órfão não é trabalhado por ninguém — é perda silenciosa.</t>
        </is>
      </c>
      <c r="D14" s="7" t="inlineStr">
        <is>
          <t>0 leads ativos sem responsável</t>
        </is>
      </c>
      <c r="E14" s="7" t="inlineStr">
        <is>
          <t>Atribua os órfãos agora e ative distribuição automática para que nenhum lead novo entre sem dono.</t>
        </is>
      </c>
      <c r="F14" s="6" t="inlineStr">
        <is>
          <t>Importante</t>
        </is>
      </c>
      <c r="G14" s="6" t="inlineStr">
        <is>
          <t>Pendente</t>
        </is>
      </c>
      <c r="H14" s="7" t="inlineStr"/>
    </row>
    <row r="15">
      <c r="A15" s="8" t="inlineStr"/>
      <c r="B15" s="9" t="inlineStr">
        <is>
          <t>Rotina de higienização da base</t>
        </is>
      </c>
      <c r="C15" s="9" t="inlineStr">
        <is>
          <t>Pergunte com que frequência a base é limpa (duplicados, leads frios, dados desatualizados). Sem rotina, a base degrada e os relatórios mentem.</t>
        </is>
      </c>
      <c r="D15" s="9" t="inlineStr">
        <is>
          <t>Higienização ao menos mensal</t>
        </is>
      </c>
      <c r="E15" s="9" t="inlineStr">
        <is>
          <t>Crie ritual recorrente de limpeza: dedupe, arquivar leads mortos, revisar campos. Documente o que se checa.</t>
        </is>
      </c>
      <c r="F15" s="8" t="inlineStr">
        <is>
          <t>Bom ter</t>
        </is>
      </c>
      <c r="G15" s="8" t="inlineStr">
        <is>
          <t>Pendente</t>
        </is>
      </c>
      <c r="H15" s="9" t="inlineStr"/>
    </row>
    <row r="16" ht="20" customHeight="1">
      <c r="A16" s="2" t="inlineStr">
        <is>
          <t>1.3 Funil e conversão</t>
        </is>
      </c>
    </row>
    <row r="17">
      <c r="A17" s="6" t="inlineStr"/>
      <c r="B17" s="7" t="inlineStr">
        <is>
          <t>Taxa de conversão medida por etapa</t>
        </is>
      </c>
      <c r="C17" s="7" t="inlineStr">
        <is>
          <t>Veja se há conversão calculada entre cada etapa (ex.: % que passa de 'Qualificado' para 'Proposta'). Sem isso, não se sabe onde o funil vaza.</t>
        </is>
      </c>
      <c r="D17" s="7" t="inlineStr">
        <is>
          <t>Conversão acompanhada etapa a etapa</t>
        </is>
      </c>
      <c r="E17" s="7" t="inlineStr">
        <is>
          <t>Configure relatório de conversão por etapa. Em planilha, calcule entrada/saída por etapa por período para achar o gargalo.</t>
        </is>
      </c>
      <c r="F17" s="6" t="inlineStr">
        <is>
          <t>Importante</t>
        </is>
      </c>
      <c r="G17" s="6" t="inlineStr">
        <is>
          <t>Pendente</t>
        </is>
      </c>
      <c r="H17" s="7" t="inlineStr"/>
    </row>
    <row r="18">
      <c r="A18" s="8" t="inlineStr"/>
      <c r="B18" s="9" t="inlineStr">
        <is>
          <t>Etapa 'buraco negro' (acúmulo anormal)</t>
        </is>
      </c>
      <c r="C18" s="9" t="inlineStr">
        <is>
          <t>Olhe a contagem de cards por etapa. Uma etapa que acumula muito mais que as outras e quase não libera é um buraco negro — onde o lead entra e não sai.</t>
        </is>
      </c>
      <c r="D18" s="9" t="inlineStr">
        <is>
          <t>Sem acúmulo desproporcional</t>
        </is>
      </c>
      <c r="E18" s="9" t="inlineStr">
        <is>
          <t>Investigue a etapa travada: critério de saída confuso, falta de ação ou lead mal qualificado entrando. Defina o que destrava e force revisão dos cards parados.</t>
        </is>
      </c>
      <c r="F18" s="8" t="inlineStr">
        <is>
          <t>Crítico</t>
        </is>
      </c>
      <c r="G18" s="8" t="inlineStr">
        <is>
          <t>Pendente</t>
        </is>
      </c>
      <c r="H18" s="9" t="inlineStr"/>
    </row>
    <row r="19">
      <c r="A19" s="6" t="inlineStr"/>
      <c r="B19" s="7" t="inlineStr">
        <is>
          <t>Tempo médio por etapa</t>
        </is>
      </c>
      <c r="C19" s="7" t="inlineStr">
        <is>
          <t>Veja quanto tempo o card fica em cada etapa. Etapa com tempo muito alto indica fricção, falta de cadência ou lead esfriando.</t>
        </is>
      </c>
      <c r="D19" s="7" t="inlineStr">
        <is>
          <t>Tempo coerente com o ciclo de venda</t>
        </is>
      </c>
      <c r="E19" s="7" t="inlineStr">
        <is>
          <t>Defina SLA de tempo por etapa e alerta para cards estagnados. Trabalhe primeiro a etapa mais lenta.</t>
        </is>
      </c>
      <c r="F19" s="6" t="inlineStr">
        <is>
          <t>Bom ter</t>
        </is>
      </c>
      <c r="G19" s="6" t="inlineStr">
        <is>
          <t>Pendente</t>
        </is>
      </c>
      <c r="H19" s="7" t="inlineStr"/>
    </row>
    <row r="20">
      <c r="A20" s="8" t="inlineStr"/>
      <c r="B20" s="9" t="inlineStr">
        <is>
          <t>Motivos de perda registrados e categorizados</t>
        </is>
      </c>
      <c r="C20" s="9" t="inlineStr">
        <is>
          <t>Confira se ao perder um lead o vendedor escolhe um motivo de uma lista padronizada (preço, timing, concorrente, sem fit). Perda sem motivo = aprendizado jogado fora.</t>
        </is>
      </c>
      <c r="D20" s="9" t="inlineStr">
        <is>
          <t>Motivo de perda obrigatório e categorizado</t>
        </is>
      </c>
      <c r="E20" s="9" t="inlineStr">
        <is>
          <t>Crie lista fixa de motivos de perda e torne obrigatório no fechamento. Revise os motivos no ritual de pipeline para corrigir oferta/qualificação.</t>
        </is>
      </c>
      <c r="F20" s="8" t="inlineStr">
        <is>
          <t>Importante</t>
        </is>
      </c>
      <c r="G20" s="8" t="inlineStr">
        <is>
          <t>Pendente</t>
        </is>
      </c>
      <c r="H20" s="9" t="inlineStr"/>
    </row>
    <row r="21">
      <c r="A21" s="6" t="inlineStr"/>
      <c r="B21" s="7" t="inlineStr">
        <is>
          <t>Previsibilidade / forecast de receita</t>
        </is>
      </c>
      <c r="C21" s="7" t="inlineStr">
        <is>
          <t>Veja se dá para projetar receita a partir do funil (valor x probabilidade por etapa). Sem previsibilidade, a operação trabalha no escuro.</t>
        </is>
      </c>
      <c r="D21" s="7" t="inlineStr">
        <is>
          <t>Forecast por etapa ponderado</t>
        </is>
      </c>
      <c r="E21" s="7" t="inlineStr">
        <is>
          <t>Atribua valor e probabilidade por etapa e monte projeção. Comece simples (valor em aberto x conversão histórica) e refine com o tempo.</t>
        </is>
      </c>
      <c r="F21" s="6" t="inlineStr">
        <is>
          <t>Bom ter</t>
        </is>
      </c>
      <c r="G21" s="6" t="inlineStr">
        <is>
          <t>Pendente</t>
        </is>
      </c>
      <c r="H21" s="7" t="inlineStr"/>
    </row>
    <row r="22" ht="20" customHeight="1">
      <c r="A22" s="2" t="inlineStr">
        <is>
          <t>1.4 Velocidade e cadência</t>
        </is>
      </c>
    </row>
    <row r="23">
      <c r="A23" s="8" t="inlineStr"/>
      <c r="B23" s="9" t="inlineStr">
        <is>
          <t>Tempo de 1ª resposta ao lead</t>
        </is>
      </c>
      <c r="C23" s="9" t="inlineStr">
        <is>
          <t>Meça quanto tempo leva entre o lead chegar e o primeiro contato. Lead novo esfria em minutos; resposta lenta derruba conversão drasticamente.</t>
        </is>
      </c>
      <c r="D23" s="9" t="inlineStr">
        <is>
          <t>&lt; 5 min (ideal)</t>
        </is>
      </c>
      <c r="E23" s="9" t="inlineStr">
        <is>
          <t>Ative alerta de lead novo e distribuição imediata. Crie resposta automática inicial e meta de primeiro contato em minutos, não horas.</t>
        </is>
      </c>
      <c r="F23" s="8" t="inlineStr">
        <is>
          <t>Crítico</t>
        </is>
      </c>
      <c r="G23" s="8" t="inlineStr">
        <is>
          <t>Pendente</t>
        </is>
      </c>
      <c r="H23" s="9" t="inlineStr"/>
    </row>
    <row r="24">
      <c r="A24" s="6" t="inlineStr"/>
      <c r="B24" s="7" t="inlineStr">
        <is>
          <t>Cadência de follow-up definida</t>
        </is>
      </c>
      <c r="C24" s="7" t="inlineStr">
        <is>
          <t>Veja se existe sequência clara de toques (quando e por qual canal) após o primeiro contato, ou se cada vendedor faz do seu jeito. Maioria das vendas exige vários toques.</t>
        </is>
      </c>
      <c r="D24" s="7" t="inlineStr">
        <is>
          <t>Cadência de 5-8 toques</t>
        </is>
      </c>
      <c r="E24" s="7" t="inlineStr">
        <is>
          <t>Desenhe uma cadência padrão (dias e canais) e configure tarefas automáticas. Documente para todo o time seguir igual.</t>
        </is>
      </c>
      <c r="F24" s="6" t="inlineStr">
        <is>
          <t>Importante</t>
        </is>
      </c>
      <c r="G24" s="6" t="inlineStr">
        <is>
          <t>Pendente</t>
        </is>
      </c>
      <c r="H24" s="7" t="inlineStr"/>
    </row>
    <row r="25">
      <c r="A25" s="8" t="inlineStr"/>
      <c r="B25" s="9" t="inlineStr">
        <is>
          <t>Número de tentativas antes de descartar</t>
        </is>
      </c>
      <c r="C25" s="9" t="inlineStr">
        <is>
          <t>Pergunte quantas tentativas o vendedor faz antes de marcar o lead como perdido. Descarte cedo demais joga fora lead que ainda converteria.</t>
        </is>
      </c>
      <c r="D25" s="9" t="inlineStr">
        <is>
          <t>Mínimo de 5-8 tentativas antes do descarte</t>
        </is>
      </c>
      <c r="E25" s="9" t="inlineStr">
        <is>
          <t>Defina regra mínima de tentativas por múltiplos canais antes de marcar perdido. Monitore quem descarta antes do combinado.</t>
        </is>
      </c>
      <c r="F25" s="8" t="inlineStr">
        <is>
          <t>Importante</t>
        </is>
      </c>
      <c r="G25" s="8" t="inlineStr">
        <is>
          <t>Pendente</t>
        </is>
      </c>
      <c r="H25" s="9" t="inlineStr"/>
    </row>
    <row r="26">
      <c r="A26" s="6" t="inlineStr"/>
      <c r="B26" s="7" t="inlineStr">
        <is>
          <t>SLA por etapa</t>
        </is>
      </c>
      <c r="C26" s="7" t="inlineStr">
        <is>
          <t>Confira se cada etapa tem prazo máximo de permanência com alerta quando estoura. Sem SLA, card fica parado sem ninguém perceber.</t>
        </is>
      </c>
      <c r="D26" s="7" t="inlineStr">
        <is>
          <t>SLA definido por etapa</t>
        </is>
      </c>
      <c r="E26" s="7" t="inlineStr">
        <is>
          <t>Defina prazo por etapa e alerta de card estagnado. Revise os estourados no ritual semanal.</t>
        </is>
      </c>
      <c r="F26" s="6" t="inlineStr">
        <is>
          <t>Bom ter</t>
        </is>
      </c>
      <c r="G26" s="6" t="inlineStr">
        <is>
          <t>Pendente</t>
        </is>
      </c>
      <c r="H26" s="7" t="inlineStr"/>
    </row>
    <row r="27" ht="20" customHeight="1">
      <c r="A27" s="2" t="inlineStr">
        <is>
          <t>1.5 Gestão e integração</t>
        </is>
      </c>
    </row>
    <row r="28">
      <c r="A28" s="8" t="inlineStr"/>
      <c r="B28" s="9" t="inlineStr">
        <is>
          <t>Pipeline revisado em ritual/reunião</t>
        </is>
      </c>
      <c r="C28" s="9" t="inlineStr">
        <is>
          <t>Veja se há reunião recorrente olhando o funil (cards parados, próximos passos, forecast). Sem ritual, o CRM vira cemitério de dados.</t>
        </is>
      </c>
      <c r="D28" s="9" t="inlineStr">
        <is>
          <t>Revisão de pipeline ao menos semanal</t>
        </is>
      </c>
      <c r="E28" s="9" t="inlineStr">
        <is>
          <t>Implante reunião fixa de pipeline com o time: revisar travados, próximos passos e previsão. Use o próprio funil como pauta.</t>
        </is>
      </c>
      <c r="F28" s="8" t="inlineStr">
        <is>
          <t>Importante</t>
        </is>
      </c>
      <c r="G28" s="8" t="inlineStr">
        <is>
          <t>Pendente</t>
        </is>
      </c>
      <c r="H28" s="9" t="inlineStr"/>
    </row>
    <row r="29">
      <c r="A29" s="6" t="inlineStr"/>
      <c r="B29" s="7" t="inlineStr">
        <is>
          <t>Metas por vendedor</t>
        </is>
      </c>
      <c r="C29" s="7" t="inlineStr">
        <is>
          <t>Confira se cada vendedor tem meta clara (leads trabalhados, reuniões, fechamento) acompanhada no CRM, não só no fim do mês.</t>
        </is>
      </c>
      <c r="D29" s="7" t="inlineStr">
        <is>
          <t>Meta individual acompanhada</t>
        </is>
      </c>
      <c r="E29" s="7" t="inlineStr">
        <is>
          <t>Defina metas por vendedor e painel de acompanhamento. Revise no ritual de pipeline.</t>
        </is>
      </c>
      <c r="F29" s="6" t="inlineStr">
        <is>
          <t>Bom ter</t>
        </is>
      </c>
      <c r="G29" s="6" t="inlineStr">
        <is>
          <t>Pendente</t>
        </is>
      </c>
      <c r="H29" s="7" t="inlineStr"/>
    </row>
    <row r="30">
      <c r="A30" s="8" t="inlineStr"/>
      <c r="B30" s="9" t="inlineStr">
        <is>
          <t>Atividades registradas (sem oportunidade parada)</t>
        </is>
      </c>
      <c r="C30" s="9" t="inlineStr">
        <is>
          <t>Filtre oportunidades sem nenhuma atividade futura agendada. Card sem próximo passo é venda parada e invisível.</t>
        </is>
      </c>
      <c r="D30" s="9" t="inlineStr">
        <is>
          <t>% de oportunidades sem atividade ~ 0%</t>
        </is>
      </c>
      <c r="E30" s="9" t="inlineStr">
        <is>
          <t>Torne obrigatório agendar a próxima atividade ao mexer no card. Crie alerta para oportunidades sem tarefa futura.</t>
        </is>
      </c>
      <c r="F30" s="8" t="inlineStr">
        <is>
          <t>Importante</t>
        </is>
      </c>
      <c r="G30" s="8" t="inlineStr">
        <is>
          <t>Pendente</t>
        </is>
      </c>
      <c r="H30" s="9" t="inlineStr"/>
    </row>
    <row r="31">
      <c r="A31" s="6" t="inlineStr"/>
      <c r="B31" s="7" t="inlineStr">
        <is>
          <t>Dashboards e relatórios em uso</t>
        </is>
      </c>
      <c r="C31" s="7" t="inlineStr">
        <is>
          <t>Veja se existem painéis de funil, conversão e produtividade efetivamente consultados pela gestão, ou se os relatórios estão abandonados.</t>
        </is>
      </c>
      <c r="D31" s="7" t="inlineStr">
        <is>
          <t>Dashboards consultados no ritual</t>
        </is>
      </c>
      <c r="E31" s="7" t="inlineStr">
        <is>
          <t>Monte painéis essenciais (funil, conversão por etapa, origem, atividade) e use-os nas reuniões. Corte relatório que ninguém olha.</t>
        </is>
      </c>
      <c r="F31" s="6" t="inlineStr">
        <is>
          <t>Bom ter</t>
        </is>
      </c>
      <c r="G31" s="6" t="inlineStr">
        <is>
          <t>Pendente</t>
        </is>
      </c>
      <c r="H31" s="7" t="inlineStr"/>
    </row>
    <row r="32">
      <c r="A32" s="8" t="inlineStr"/>
      <c r="B32" s="9" t="inlineStr">
        <is>
          <t>Integração origem-do-lead → venda (mídia paga ↔ CRM)</t>
        </is>
      </c>
      <c r="C32" s="9" t="inlineStr">
        <is>
          <t>Confira se dá para rastrear o lead da campanha/anúncio até a venda fechada dentro do CRM. Esse fechamento de loop é o que prova o ROI da mídia.</t>
        </is>
      </c>
      <c r="D32" s="9" t="inlineStr">
        <is>
          <t>Origem rastreável até a venda fechada</t>
        </is>
      </c>
      <c r="E32" s="9" t="inlineStr">
        <is>
          <t>Integre captura de UTM/origem na entrada do lead e amarre venda fechada ao canal de origem. Cruze investimento em mídia com receita por canal.</t>
        </is>
      </c>
      <c r="F32" s="8" t="inlineStr">
        <is>
          <t>Crítico</t>
        </is>
      </c>
      <c r="G32" s="8" t="inlineStr">
        <is>
          <t>Pendente</t>
        </is>
      </c>
      <c r="H32" s="9" t="inlineStr"/>
    </row>
  </sheetData>
  <mergeCells count="7">
    <mergeCell ref="A4:H4"/>
    <mergeCell ref="A16:H16"/>
    <mergeCell ref="A2:H2"/>
    <mergeCell ref="A10:H10"/>
    <mergeCell ref="A1:H1"/>
    <mergeCell ref="A27:H27"/>
    <mergeCell ref="A22:H22"/>
  </mergeCells>
  <conditionalFormatting sqref="G4:G32">
    <cfRule type="cellIs" priority="1" operator="equal" dxfId="0">
      <formula>"OK"</formula>
    </cfRule>
    <cfRule type="cellIs" priority="2" operator="equal" dxfId="1">
      <formula>"Ajustar"</formula>
    </cfRule>
    <cfRule type="cellIs" priority="3" operator="equal" dxfId="2">
      <formula>"Crítico"</formula>
    </cfRule>
    <cfRule type="cellIs" priority="4" operator="equal" dxfId="3">
      <formula>"N/A"</formula>
    </cfRule>
    <cfRule type="cellIs" priority="5" operator="equal" dxfId="4">
      <formula>"Pendente"</formula>
    </cfRule>
  </conditionalFormatting>
  <conditionalFormatting sqref="F4:F32">
    <cfRule type="cellIs" priority="6" operator="equal" dxfId="2">
      <formula>"Crítico"</formula>
    </cfRule>
    <cfRule type="cellIs" priority="7" operator="equal" dxfId="1">
      <formula>"Importante"</formula>
    </cfRule>
    <cfRule type="cellIs" priority="8" operator="equal" dxfId="3">
      <formula>"Bom ter"</formula>
    </cfRule>
  </conditionalFormatting>
  <conditionalFormatting sqref="A4:A32">
    <cfRule type="expression" priority="9" dxfId="0">
      <formula>A4="✓"</formula>
    </cfRule>
  </conditionalFormatting>
  <dataValidations count="2">
    <dataValidation sqref="G4:G32" showDropDown="0" showInputMessage="0" showErrorMessage="0" allowBlank="1" type="list">
      <formula1>_Listas!$A$1:$A$5</formula1>
    </dataValidation>
    <dataValidation sqref="A4:A32" showDropDown="0" showInputMessage="0" showErrorMessage="0" allowBlank="1" type="list">
      <formula1>_Listas!$B$1:$B$1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10" customWidth="1" min="4" max="4"/>
    <col width="10" customWidth="1" min="5" max="5"/>
    <col width="11" customWidth="1" min="6" max="6"/>
    <col width="8" customWidth="1" min="7" max="7"/>
    <col width="14" customWidth="1" min="8" max="8"/>
  </cols>
  <sheetData>
    <row r="1" ht="30" customHeight="1">
      <c r="A1" s="1" t="inlineStr">
        <is>
          <t>RESUMO DA AUDITORIA</t>
        </is>
      </c>
    </row>
    <row r="2" ht="18" customHeight="1">
      <c r="A2" s="2" t="inlineStr">
        <is>
          <t>V4 Company  ·  preenche automaticamente conforme o Status</t>
        </is>
      </c>
    </row>
    <row r="3" ht="24" customHeight="1">
      <c r="A3" s="5" t="inlineStr">
        <is>
          <t>Frente</t>
        </is>
      </c>
      <c r="B3" s="5" t="inlineStr">
        <is>
          <t>Itens</t>
        </is>
      </c>
      <c r="C3" s="5" t="inlineStr">
        <is>
          <t>OK</t>
        </is>
      </c>
      <c r="D3" s="5" t="inlineStr">
        <is>
          <t>Ajustar</t>
        </is>
      </c>
      <c r="E3" s="5" t="inlineStr">
        <is>
          <t>Crítico</t>
        </is>
      </c>
      <c r="F3" s="5" t="inlineStr">
        <is>
          <t>Pendente</t>
        </is>
      </c>
      <c r="G3" s="5" t="inlineStr">
        <is>
          <t>N/A</t>
        </is>
      </c>
      <c r="H3" s="5" t="inlineStr">
        <is>
          <t>% revisado</t>
        </is>
      </c>
    </row>
    <row r="4">
      <c r="A4" s="10" t="inlineStr">
        <is>
          <t>CRM</t>
        </is>
      </c>
      <c r="B4" s="11">
        <f>SUM(C4:G4)</f>
        <v/>
      </c>
      <c r="C4" s="11">
        <f>COUNTIF('CRM'!G:G,"OK")</f>
        <v/>
      </c>
      <c r="D4" s="11">
        <f>COUNTIF('CRM'!G:G,"Ajustar")</f>
        <v/>
      </c>
      <c r="E4" s="11">
        <f>COUNTIF('CRM'!G:G,"Crítico")</f>
        <v/>
      </c>
      <c r="F4" s="11">
        <f>COUNTIF('CRM'!G:G,"Pendente")</f>
        <v/>
      </c>
      <c r="G4" s="11">
        <f>COUNTIF('CRM'!G:G,"N/A")</f>
        <v/>
      </c>
      <c r="H4" s="12">
        <f>IF(B4=0,0,(C4+G4)/B4)</f>
        <v/>
      </c>
    </row>
    <row r="5">
      <c r="A5" s="13" t="inlineStr">
        <is>
          <t>TOTAL</t>
        </is>
      </c>
      <c r="B5" s="14">
        <f>SUM(B4:B4)</f>
        <v/>
      </c>
      <c r="C5" s="14">
        <f>SUM(C4:C4)</f>
        <v/>
      </c>
      <c r="D5" s="14">
        <f>SUM(D4:D4)</f>
        <v/>
      </c>
      <c r="E5" s="14">
        <f>SUM(E4:E4)</f>
        <v/>
      </c>
      <c r="F5" s="14">
        <f>SUM(F4:F4)</f>
        <v/>
      </c>
      <c r="G5" s="14">
        <f>SUM(G4:G4)</f>
        <v/>
      </c>
      <c r="H5" s="15">
        <f>IF(B5=0,0,(C5+G5)/B5)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Pendente</t>
        </is>
      </c>
      <c r="B1" t="inlineStr">
        <is>
          <t>✓</t>
        </is>
      </c>
    </row>
    <row r="2">
      <c r="A2" t="inlineStr">
        <is>
          <t>OK</t>
        </is>
      </c>
    </row>
    <row r="3">
      <c r="A3" t="inlineStr">
        <is>
          <t>Ajustar</t>
        </is>
      </c>
    </row>
    <row r="4">
      <c r="A4" t="inlineStr">
        <is>
          <t>Crítico</t>
        </is>
      </c>
    </row>
    <row r="5">
      <c r="A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2026-06-28T01:05:40Z</dcterms:created>
  <dcterms:modified xsi:type="dcterms:W3CDTF">2026-06-28T01:05:40Z</dcterms:modified>
</cp:coreProperties>
</file>