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Landing Page" sheetId="2" state="visible" r:id="rId2"/>
    <sheet name="Resumo" sheetId="3" state="visible" r:id="rId3"/>
    <sheet name="_Lista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0A0A0A"/>
      <sz val="12"/>
    </font>
    <font>
      <name val="Arial"/>
      <color rgb="000A0A0A"/>
      <sz val="10"/>
    </font>
  </fonts>
  <fills count="7">
    <fill>
      <patternFill/>
    </fill>
    <fill>
      <patternFill patternType="gray125"/>
    </fill>
    <fill>
      <patternFill patternType="solid">
        <fgColor rgb="00FF0037"/>
      </patternFill>
    </fill>
    <fill>
      <patternFill patternType="solid">
        <fgColor rgb="000A0A0A"/>
      </patternFill>
    </fill>
    <fill>
      <patternFill patternType="solid">
        <fgColor rgb="003A3A42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AEAEC"/>
      </left>
      <right style="thin">
        <color rgb="00EAEAEC"/>
      </right>
      <top style="thin">
        <color rgb="00EAEAEC"/>
      </top>
      <bottom style="thin">
        <color rgb="00EAEAE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top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9" fontId="4" fillId="5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9" fontId="2" fillId="3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color rgb="00166534"/>
      </font>
      <fill>
        <patternFill patternType="solid">
          <fgColor rgb="00DCFCE7"/>
        </patternFill>
      </fill>
    </dxf>
    <dxf>
      <font>
        <color rgb="0092400E"/>
      </font>
      <fill>
        <patternFill patternType="solid">
          <fgColor rgb="00FEF3C7"/>
        </patternFill>
      </fill>
    </dxf>
    <dxf>
      <font>
        <color rgb="00991B1B"/>
      </font>
      <fill>
        <patternFill patternType="solid">
          <fgColor rgb="00FEE2E2"/>
        </patternFill>
      </fill>
    </dxf>
    <dxf>
      <font>
        <color rgb="005A5A62"/>
      </font>
      <fill>
        <patternFill patternType="solid">
          <fgColor rgb="00E5E7EB"/>
        </patternFill>
      </fill>
    </dxf>
    <dxf>
      <font>
        <color rgb="005A5A62"/>
      </font>
      <fill>
        <patternFill patternType="solid">
          <fgColor rgb="00F4F4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 ht="30" customHeight="1">
      <c r="A1" s="1" t="inlineStr">
        <is>
          <t>AUDITORIA DE LANDING PAGE</t>
        </is>
      </c>
    </row>
    <row r="2" ht="18" customHeight="1">
      <c r="A2" s="2" t="inlineStr">
        <is>
          <t>V4 Company  ·  Como usar esta auditoria</t>
        </is>
      </c>
    </row>
    <row r="4">
      <c r="B4" s="3" t="inlineStr">
        <is>
          <t>Para que serve</t>
        </is>
      </c>
    </row>
    <row r="5">
      <c r="B5" s="4" t="inlineStr">
        <is>
          <t>•  Auditar uma landing page (página única de conversão) de forma padronizada, sem depender de IA.</t>
        </is>
      </c>
    </row>
    <row r="6">
      <c r="B6" s="4" t="inlineStr">
        <is>
          <t>•  Garantir que rastreamento, performance, estrutura e copy estão prontos para converter o tráfego pago.</t>
        </is>
      </c>
    </row>
    <row r="7">
      <c r="B7" s="4" t="inlineStr">
        <is>
          <t>•  Serve sozinha como entregável ou como base para a auditoria assistida do Blackbox.</t>
        </is>
      </c>
    </row>
    <row r="9">
      <c r="B9" s="3" t="inlineStr">
        <is>
          <t>Passo a passo</t>
        </is>
      </c>
    </row>
    <row r="10">
      <c r="B10" s="4" t="inlineStr">
        <is>
          <t>1. Abra a LP no desktop e no mobile real, com um link UTM, antes de começar.</t>
        </is>
      </c>
    </row>
    <row r="11">
      <c r="B11" s="4" t="inlineStr">
        <is>
          <t>2. Comece pela seção 1.1 (rastreamento) — faça o teste real de envio do formulário e confirme que o lead chega ao destino.</t>
        </is>
      </c>
    </row>
    <row r="12">
      <c r="B12" s="4" t="inlineStr">
        <is>
          <t>3. Siga para performance (1.2), estrutura (1.3), copy (1.4) e confiança (1.5).</t>
        </is>
      </c>
    </row>
    <row r="13">
      <c r="B13" s="4" t="inlineStr">
        <is>
          <t>4. Para cada item: leia 'Como auditar', compare com o 'Benchmark', defina o Status e anote em Observações.</t>
        </is>
      </c>
    </row>
    <row r="14">
      <c r="B14" s="4" t="inlineStr">
        <is>
          <t>5. Quando o Status for Ajustar/Crítico, registre o plano usando a coluna 'Como corrigir' como guia.</t>
        </is>
      </c>
    </row>
    <row r="15">
      <c r="B15" s="4" t="inlineStr">
        <is>
          <t>6. Acompanhe o progresso na aba Resumo (preenche automaticamente).</t>
        </is>
      </c>
    </row>
    <row r="17">
      <c r="B17" s="3" t="inlineStr">
        <is>
          <t>Como ler as colunas</t>
        </is>
      </c>
    </row>
    <row r="18">
      <c r="B18" s="4" t="inlineStr">
        <is>
          <t>•  Como auditar — onde olhar e o que verificar em cada ponto.</t>
        </is>
      </c>
    </row>
    <row r="19">
      <c r="B19" s="4" t="inlineStr">
        <is>
          <t>•  Benchmark / Referência 2026 — número de comparação. '(validar)' = confirmar no contexto do cliente.</t>
        </is>
      </c>
    </row>
    <row r="20">
      <c r="B20" s="4" t="inlineStr">
        <is>
          <t>•  Como corrigir — o que fazer quando o ponto está fora do esperado.</t>
        </is>
      </c>
    </row>
    <row r="21">
      <c r="B21" s="4" t="inlineStr">
        <is>
          <t>•  Criticidade — Crítico (resolver já) · Importante (resolver no ciclo) · Bom ter (ganho marginal).</t>
        </is>
      </c>
    </row>
    <row r="22">
      <c r="B22" s="4" t="inlineStr">
        <is>
          <t>•  Status — Pendente / OK / Ajustar / Crítico / N/A (menu suspenso). A aba Resumo conta sozinha.</t>
        </is>
      </c>
    </row>
    <row r="23">
      <c r="B23" s="4" t="inlineStr">
        <is>
          <t>•  Coluna ✓ — selecione o ✓ para marcar o item como revisado (fica verde).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8" customWidth="1" min="3" max="3"/>
    <col width="26" customWidth="1" min="4" max="4"/>
    <col width="50" customWidth="1" min="5" max="5"/>
    <col width="14" customWidth="1" min="6" max="6"/>
    <col width="14" customWidth="1" min="7" max="7"/>
    <col width="28" customWidth="1" min="8" max="8"/>
  </cols>
  <sheetData>
    <row r="1" ht="30" customHeight="1">
      <c r="A1" s="1" t="inlineStr">
        <is>
          <t>AUDITORIA DE LANDING PAGE</t>
        </is>
      </c>
    </row>
    <row r="2" ht="18" customHeight="1">
      <c r="A2" s="2" t="inlineStr">
        <is>
          <t>V4 Company  ·  Landing Page</t>
        </is>
      </c>
    </row>
    <row r="3" ht="24" customHeight="1">
      <c r="A3" s="5" t="inlineStr">
        <is>
          <t>✓</t>
        </is>
      </c>
      <c r="B3" s="5" t="inlineStr">
        <is>
          <t>Item</t>
        </is>
      </c>
      <c r="C3" s="5" t="inlineStr">
        <is>
          <t>Como auditar (passo a passo + pontos de atenção)</t>
        </is>
      </c>
      <c r="D3" s="5" t="inlineStr">
        <is>
          <t>Benchmark / Referência 2026</t>
        </is>
      </c>
      <c r="E3" s="5" t="inlineStr">
        <is>
          <t>Como corrigir</t>
        </is>
      </c>
      <c r="F3" s="5" t="inlineStr">
        <is>
          <t>Criticidade</t>
        </is>
      </c>
      <c r="G3" s="5" t="inlineStr">
        <is>
          <t>Status</t>
        </is>
      </c>
      <c r="H3" s="5" t="inlineStr">
        <is>
          <t>Observações</t>
        </is>
      </c>
    </row>
    <row r="4" ht="20" customHeight="1">
      <c r="A4" s="2" t="inlineStr">
        <is>
          <t>1.1 Configuração e rastreamento</t>
        </is>
      </c>
    </row>
    <row r="5">
      <c r="A5" s="6" t="inlineStr"/>
      <c r="B5" s="7" t="inlineStr">
        <is>
          <t>Tags do Google e da Meta instaladas e disparando</t>
        </is>
      </c>
      <c r="C5" s="7" t="inlineStr">
        <is>
          <t>Use o Google Tag Assistant e o Meta Pixel Helper para abrir a LP e confirmar que as tags carregam e o PageView dispara. Verifique se não há tags duplicadas ou bloqueadas.</t>
        </is>
      </c>
      <c r="D5" s="7" t="inlineStr">
        <is>
          <t>100% das tags ativas e sem duplicidade</t>
        </is>
      </c>
      <c r="E5" s="7" t="inlineStr">
        <is>
          <t>Reinstale via GTM ou tag nativa; remova duplicações e corrija o disparo na LP e na página de obrigado.</t>
        </is>
      </c>
      <c r="F5" s="6" t="inlineStr">
        <is>
          <t>Crítico</t>
        </is>
      </c>
      <c r="G5" s="6" t="inlineStr">
        <is>
          <t>Pendente</t>
        </is>
      </c>
      <c r="H5" s="7" t="inlineStr"/>
    </row>
    <row r="6">
      <c r="A6" s="8" t="inlineStr"/>
      <c r="B6" s="9" t="inlineStr">
        <is>
          <t>Eventos de conversão configurados (envio de formulário e clique no CTA)</t>
        </is>
      </c>
      <c r="C6" s="9" t="inlineStr">
        <is>
          <t>No gerenciador de eventos (Meta) e no GA4, confira se o envio do formulário e o clique no CTA principal estão mapeados como eventos/conversão, com os parâmetros corretos.</t>
        </is>
      </c>
      <c r="D6" s="9" t="inlineStr">
        <is>
          <t>Evento de lead + clique no CTA mapeados</t>
        </is>
      </c>
      <c r="E6" s="9" t="inlineStr">
        <is>
          <t>Configure os eventos faltantes; marque o envio de formulário como conversão principal do funil.</t>
        </is>
      </c>
      <c r="F6" s="8" t="inlineStr">
        <is>
          <t>Crítico</t>
        </is>
      </c>
      <c r="G6" s="8" t="inlineStr">
        <is>
          <t>Pendente</t>
        </is>
      </c>
      <c r="H6" s="9" t="inlineStr"/>
    </row>
    <row r="7">
      <c r="A7" s="6" t="inlineStr"/>
      <c r="B7" s="7" t="inlineStr">
        <is>
          <t>Teste real: envie o formulário e confirme que o lead chega ao destino/CRM</t>
        </is>
      </c>
      <c r="C7" s="7" t="inlineStr">
        <is>
          <t>Preencha e envie o formulário de verdade. Confirme que o lead aparece no destino (CRM, planilha, e-mail ou ferramenta de automação) com todos os campos corretos.</t>
        </is>
      </c>
      <c r="D7" s="7" t="inlineStr">
        <is>
          <t>Lead recebido 100% das vezes, sem perda</t>
        </is>
      </c>
      <c r="E7" s="7" t="inlineStr">
        <is>
          <t>Corrija a integração/webhook; valide e-mails de notificação; não suba verba enquanto o lead não chegar ao destino.</t>
        </is>
      </c>
      <c r="F7" s="6" t="inlineStr">
        <is>
          <t>Crítico</t>
        </is>
      </c>
      <c r="G7" s="6" t="inlineStr">
        <is>
          <t>Pendente</t>
        </is>
      </c>
      <c r="H7" s="7" t="inlineStr"/>
    </row>
    <row r="8">
      <c r="A8" s="8" t="inlineStr"/>
      <c r="B8" s="9" t="inlineStr">
        <is>
          <t>UTMs chegando e preservados até a conversão</t>
        </is>
      </c>
      <c r="C8" s="9" t="inlineStr">
        <is>
          <t>Acesse a LP com link UTM e confirme que utm_source/medium/campaign chegam ao formulário e ao CRM. Cruze com o GA4 para ver se a origem é registrada.</t>
        </is>
      </c>
      <c r="D8" s="9" t="inlineStr">
        <is>
          <t>UTMs preservados do clique ao lead</t>
        </is>
      </c>
      <c r="E8" s="9" t="inlineStr">
        <is>
          <t>Capture os UTMs em campos ocultos do formulário; padronize a convenção e corrija links divergentes.</t>
        </is>
      </c>
      <c r="F8" s="8" t="inlineStr">
        <is>
          <t>Importante</t>
        </is>
      </c>
      <c r="G8" s="8" t="inlineStr">
        <is>
          <t>Pendente</t>
        </is>
      </c>
      <c r="H8" s="9" t="inlineStr"/>
    </row>
    <row r="9">
      <c r="A9" s="6" t="inlineStr"/>
      <c r="B9" s="7" t="inlineStr">
        <is>
          <t>Página de obrigado com evento de conversão</t>
        </is>
      </c>
      <c r="C9" s="7" t="inlineStr">
        <is>
          <t>Verifique se há página de obrigado (thank you) e se ela dispara o evento de conversão. Confirme que o redirecionamento acontece após o envio.</t>
        </is>
      </c>
      <c r="D9" s="7" t="inlineStr">
        <is>
          <t>Página de obrigado com evento dedicado</t>
        </is>
      </c>
      <c r="E9" s="7" t="inlineStr">
        <is>
          <t>Crie a página de obrigado e configure o disparo do evento de conversão no carregamento dela.</t>
        </is>
      </c>
      <c r="F9" s="6" t="inlineStr">
        <is>
          <t>Importante</t>
        </is>
      </c>
      <c r="G9" s="6" t="inlineStr">
        <is>
          <t>Pendente</t>
        </is>
      </c>
      <c r="H9" s="7" t="inlineStr"/>
    </row>
    <row r="10" ht="20" customHeight="1">
      <c r="A10" s="2" t="inlineStr">
        <is>
          <t>1.2 Performance e técnico</t>
        </is>
      </c>
    </row>
    <row r="11">
      <c r="A11" s="8" t="inlineStr"/>
      <c r="B11" s="9" t="inlineStr">
        <is>
          <t>Core Web Vitals dentro do verde (LCP, INP, CLS)</t>
        </is>
      </c>
      <c r="C11" s="9" t="inlineStr">
        <is>
          <t>Rode PageSpeed Insights / Lighthouse na URL real (campo mobile). Veja LCP, INP e CLS. Métricas ruins derrubam conversão e qualidade do anúncio.</t>
        </is>
      </c>
      <c r="D11" s="9" t="inlineStr">
        <is>
          <t>LCP &lt; 2,5s · INP &lt; 200ms · CLS &lt; 0,1</t>
        </is>
      </c>
      <c r="E11" s="9" t="inlineStr">
        <is>
          <t>Otimize a maior imagem (LCP), reduza JS bloqueante (INP) e reserve espaço para elementos (CLS).</t>
        </is>
      </c>
      <c r="F11" s="8" t="inlineStr">
        <is>
          <t>Importante</t>
        </is>
      </c>
      <c r="G11" s="8" t="inlineStr">
        <is>
          <t>Pendente</t>
        </is>
      </c>
      <c r="H11" s="9" t="inlineStr"/>
    </row>
    <row r="12">
      <c r="A12" s="6" t="inlineStr"/>
      <c r="B12" s="7" t="inlineStr">
        <is>
          <t>Imagens otimizadas e leves</t>
        </is>
      </c>
      <c r="C12" s="7" t="inlineStr">
        <is>
          <t>Inspecione o peso das imagens (DevTools &gt; Network). Imagens pesadas e sem compressão são a causa mais comum de lentidão.</t>
        </is>
      </c>
      <c r="D12" s="7" t="inlineStr">
        <is>
          <t>Formatos modernos (WebP/AVIF) + lazy load</t>
        </is>
      </c>
      <c r="E12" s="7" t="inlineStr">
        <is>
          <t>Comprima e converta para WebP/AVIF; aplique lazy loading abaixo da dobra; dimensione no tamanho exibido.</t>
        </is>
      </c>
      <c r="F12" s="6" t="inlineStr">
        <is>
          <t>Importante</t>
        </is>
      </c>
      <c r="G12" s="6" t="inlineStr">
        <is>
          <t>Pendente</t>
        </is>
      </c>
      <c r="H12" s="7" t="inlineStr"/>
    </row>
    <row r="13">
      <c r="A13" s="8" t="inlineStr"/>
      <c r="B13" s="9" t="inlineStr">
        <is>
          <t>Responsivo no mobile</t>
        </is>
      </c>
      <c r="C13" s="9" t="inlineStr">
        <is>
          <t>Abra a LP no celular real e no modo responsivo do navegador. Boa parte do tráfego pago é mobile. Veja se o CTA, o formulário e a leitura funcionam.</t>
        </is>
      </c>
      <c r="D13" s="9" t="inlineStr">
        <is>
          <t>Mobile-first, sem rolagem horizontal</t>
        </is>
      </c>
      <c r="E13" s="9" t="inlineStr">
        <is>
          <t>Ajuste o layout para mobile; aumente alvos de toque; garanta o CTA visível sem zoom.</t>
        </is>
      </c>
      <c r="F13" s="8" t="inlineStr">
        <is>
          <t>Importante</t>
        </is>
      </c>
      <c r="G13" s="8" t="inlineStr">
        <is>
          <t>Pendente</t>
        </is>
      </c>
      <c r="H13" s="9" t="inlineStr"/>
    </row>
    <row r="14">
      <c r="A14" s="6" t="inlineStr"/>
      <c r="B14" s="7" t="inlineStr">
        <is>
          <t>HTTPS válido e tempo de carregamento</t>
        </is>
      </c>
      <c r="C14" s="7" t="inlineStr">
        <is>
          <t>Confira o cadeado e se não há conteúdo misto (recursos http em página https). Meça o tempo até a página ficar utilizável no mobile — lentidão eleva a rejeição antes da leitura.</t>
        </is>
      </c>
      <c r="D14" s="7" t="inlineStr">
        <is>
          <t>HTTPS em 100% dos recursos · carregamento &lt; 3s</t>
        </is>
      </c>
      <c r="E14" s="7" t="inlineStr">
        <is>
          <t>Renove o SSL e corrija recursos http; reduza scripts de terceiros, otimize imagens e use cache/CDN.</t>
        </is>
      </c>
      <c r="F14" s="6" t="inlineStr">
        <is>
          <t>Importante</t>
        </is>
      </c>
      <c r="G14" s="6" t="inlineStr">
        <is>
          <t>Pendente</t>
        </is>
      </c>
      <c r="H14" s="7" t="inlineStr"/>
    </row>
    <row r="15" ht="20" customHeight="1">
      <c r="A15" s="2" t="inlineStr">
        <is>
          <t>1.3 Estrutura e conversão</t>
        </is>
      </c>
    </row>
    <row r="16">
      <c r="A16" s="8" t="inlineStr"/>
      <c r="B16" s="9" t="inlineStr">
        <is>
          <t>Um único objetivo e um CTA principal</t>
        </is>
      </c>
      <c r="C16" s="9" t="inlineStr">
        <is>
          <t>Veja se a página tem um objetivo claro e um CTA dominante. Menus, links externos e ofertas concorrentes dispersam a conversão.</t>
        </is>
      </c>
      <c r="D16" s="9" t="inlineStr">
        <is>
          <t>1 objetivo · 1 CTA principal</t>
        </is>
      </c>
      <c r="E16" s="9" t="inlineStr">
        <is>
          <t>Remova menus e links de fuga; deixe uma única ação dominante repetida na página.</t>
        </is>
      </c>
      <c r="F16" s="8" t="inlineStr">
        <is>
          <t>Crítico</t>
        </is>
      </c>
      <c r="G16" s="8" t="inlineStr">
        <is>
          <t>Pendente</t>
        </is>
      </c>
      <c r="H16" s="9" t="inlineStr"/>
    </row>
    <row r="17">
      <c r="A17" s="6" t="inlineStr"/>
      <c r="B17" s="7" t="inlineStr">
        <is>
          <t>Promessa clara acima da dobra</t>
        </is>
      </c>
      <c r="C17" s="7" t="inlineStr">
        <is>
          <t>Sem rolar, confirme se fica claro o que é, para quem e qual o benefício. Os primeiros segundos decidem a permanência.</t>
        </is>
      </c>
      <c r="D17" s="7" t="inlineStr">
        <is>
          <t>Proposta de valor visível sem rolagem</t>
        </is>
      </c>
      <c r="E17" s="7" t="inlineStr">
        <is>
          <t>Reescreva a primeira dobra com promessa direta, subtítulo de apoio e CTA visível.</t>
        </is>
      </c>
      <c r="F17" s="6" t="inlineStr">
        <is>
          <t>Importante</t>
        </is>
      </c>
      <c r="G17" s="6" t="inlineStr">
        <is>
          <t>Pendente</t>
        </is>
      </c>
      <c r="H17" s="7" t="inlineStr"/>
    </row>
    <row r="18">
      <c r="A18" s="8" t="inlineStr"/>
      <c r="B18" s="9" t="inlineStr">
        <is>
          <t>Headline alinhada ao anúncio de origem</t>
        </is>
      </c>
      <c r="C18" s="9" t="inlineStr">
        <is>
          <t>Clique no anúncio e compare a mensagem com a headline da LP. Quebra de continuidade entre anúncio e página derruba a conversão.</t>
        </is>
      </c>
      <c r="D18" s="9" t="inlineStr">
        <is>
          <t>Mensagem do anúncio = headline da LP</t>
        </is>
      </c>
      <c r="E18" s="9" t="inlineStr">
        <is>
          <t>Alinhe headline, oferta e visual da LP ao anúncio; mantenha o mesmo argumento e prova.</t>
        </is>
      </c>
      <c r="F18" s="8" t="inlineStr">
        <is>
          <t>Importante</t>
        </is>
      </c>
      <c r="G18" s="8" t="inlineStr">
        <is>
          <t>Pendente</t>
        </is>
      </c>
      <c r="H18" s="9" t="inlineStr"/>
    </row>
    <row r="19">
      <c r="A19" s="6" t="inlineStr"/>
      <c r="B19" s="7" t="inlineStr">
        <is>
          <t>Prova social e quebra de objeções</t>
        </is>
      </c>
      <c r="C19" s="7" t="inlineStr">
        <is>
          <t>Veja se há depoimentos, números, logos, avaliações ou casos, e se a página antecipa as principais dúvidas (preço, garantia, como funciona, FAQ). Prova e objeções tratadas reduzem o risco percebido.</t>
        </is>
      </c>
      <c r="D19" s="7" t="inlineStr">
        <is>
          <t>Bloco de prova social + objeções respondidas</t>
        </is>
      </c>
      <c r="E19" s="7" t="inlineStr">
        <is>
          <t>Adicione depoimentos e resultados reais perto do CTA; inclua FAQ, garantia e seção 'como funciona'.</t>
        </is>
      </c>
      <c r="F19" s="6" t="inlineStr">
        <is>
          <t>Importante</t>
        </is>
      </c>
      <c r="G19" s="6" t="inlineStr">
        <is>
          <t>Pendente</t>
        </is>
      </c>
      <c r="H19" s="7" t="inlineStr"/>
    </row>
    <row r="20">
      <c r="A20" s="8" t="inlineStr"/>
      <c r="B20" s="9" t="inlineStr">
        <is>
          <t>Formulário com o mínimo de campos e CTA repetido</t>
        </is>
      </c>
      <c r="C20" s="9" t="inlineStr">
        <is>
          <t>Conte os campos do formulário — cada campo extra reduz a conversão, peça só o essencial. Em páginas longas, veja se o CTA reaparece em pontos estratégicos, evitando rolar de volta.</t>
        </is>
      </c>
      <c r="D20" s="9" t="inlineStr">
        <is>
          <t>Campos essenciais · CTA acima da dobra + repetido</t>
        </is>
      </c>
      <c r="E20" s="9" t="inlineStr">
        <is>
          <t>Remova campos dispensáveis; repita o CTA após cada bloco persuasivo (oferta, prova, FAQ).</t>
        </is>
      </c>
      <c r="F20" s="8" t="inlineStr">
        <is>
          <t>Importante</t>
        </is>
      </c>
      <c r="G20" s="8" t="inlineStr">
        <is>
          <t>Pendente</t>
        </is>
      </c>
      <c r="H20" s="9" t="inlineStr"/>
    </row>
    <row r="21" ht="20" customHeight="1">
      <c r="A21" s="2" t="inlineStr">
        <is>
          <t>1.4 Copy e oferta</t>
        </is>
      </c>
    </row>
    <row r="22">
      <c r="A22" s="6" t="inlineStr"/>
      <c r="B22" s="7" t="inlineStr">
        <is>
          <t>Clareza da oferta</t>
        </is>
      </c>
      <c r="C22" s="7" t="inlineStr">
        <is>
          <t>Leia a página como um visitante novo. Em poucos segundos deve ficar claro o que está sendo oferecido e o que fazer.</t>
        </is>
      </c>
      <c r="D22" s="7" t="inlineStr">
        <is>
          <t>Oferta compreensível em &lt; 5s</t>
        </is>
      </c>
      <c r="E22" s="7" t="inlineStr">
        <is>
          <t>Simplifique a mensagem; corte jargão; deixe a oferta e o próximo passo explícitos.</t>
        </is>
      </c>
      <c r="F22" s="6" t="inlineStr">
        <is>
          <t>Importante</t>
        </is>
      </c>
      <c r="G22" s="6" t="inlineStr">
        <is>
          <t>Pendente</t>
        </is>
      </c>
      <c r="H22" s="7" t="inlineStr"/>
    </row>
    <row r="23">
      <c r="A23" s="8" t="inlineStr"/>
      <c r="B23" s="9" t="inlineStr">
        <is>
          <t>Foco em benefício, não em features</t>
        </is>
      </c>
      <c r="C23" s="9" t="inlineStr">
        <is>
          <t>Veja se a copy fala do resultado para o cliente, não só de características. Benefício converte; especificação informa.</t>
        </is>
      </c>
      <c r="D23" s="9" t="inlineStr">
        <is>
          <t>Benefício antes de feature</t>
        </is>
      </c>
      <c r="E23" s="9" t="inlineStr">
        <is>
          <t>Traduza cada característica no ganho concreto para o cliente.</t>
        </is>
      </c>
      <c r="F23" s="8" t="inlineStr">
        <is>
          <t>Importante</t>
        </is>
      </c>
      <c r="G23" s="8" t="inlineStr">
        <is>
          <t>Pendente</t>
        </is>
      </c>
      <c r="H23" s="9" t="inlineStr"/>
    </row>
    <row r="24">
      <c r="A24" s="6" t="inlineStr"/>
      <c r="B24" s="7" t="inlineStr">
        <is>
          <t>Gatilhos de persuasão e urgência legítima</t>
        </is>
      </c>
      <c r="C24" s="7" t="inlineStr">
        <is>
          <t>Confira o uso de prova, autoridade e especificidade construindo desejo e confiança. Se houver urgência/escassez, confirme que é real (vagas, prazo, lote) — gatilho falso queima a confiança.</t>
        </is>
      </c>
      <c r="D24" s="7" t="inlineStr">
        <is>
          <t>Gatilhos coerentes · urgência verdadeira</t>
        </is>
      </c>
      <c r="E24" s="7" t="inlineStr">
        <is>
          <t>Acrescente prova e especificidade; use prazo/vagas reais e remova contadores falsos.</t>
        </is>
      </c>
      <c r="F24" s="6" t="inlineStr">
        <is>
          <t>Bom ter</t>
        </is>
      </c>
      <c r="G24" s="6" t="inlineStr">
        <is>
          <t>Pendente</t>
        </is>
      </c>
      <c r="H24" s="7" t="inlineStr"/>
    </row>
    <row r="25">
      <c r="A25" s="8" t="inlineStr"/>
      <c r="B25" s="9" t="inlineStr">
        <is>
          <t>Ortografia e legibilidade</t>
        </is>
      </c>
      <c r="C25" s="9" t="inlineStr">
        <is>
          <t>Revise erros de português e a legibilidade (tamanho de fonte, contraste, parágrafos curtos). Erro reduz credibilidade.</t>
        </is>
      </c>
      <c r="D25" s="9" t="inlineStr">
        <is>
          <t>Sem erros · texto escaneável</t>
        </is>
      </c>
      <c r="E25" s="9" t="inlineStr">
        <is>
          <t>Corrija a revisão; aumente contraste e fonte; quebre blocos longos.</t>
        </is>
      </c>
      <c r="F25" s="8" t="inlineStr">
        <is>
          <t>Bom ter</t>
        </is>
      </c>
      <c r="G25" s="8" t="inlineStr">
        <is>
          <t>Pendente</t>
        </is>
      </c>
      <c r="H25" s="9" t="inlineStr"/>
    </row>
    <row r="26">
      <c r="A26" s="6" t="inlineStr"/>
      <c r="B26" s="7" t="inlineStr">
        <is>
          <t>Nível de consciência compatível com a origem do tráfego</t>
        </is>
      </c>
      <c r="C26" s="7" t="inlineStr">
        <is>
          <t>Descubra de onde vem o tráfego (frio de interesses, remarketing, busca por marca) e leia a página como essa pessoa. Tráfego frio precisa do problema antes da solução; tráfego de fundo já quer preço e prazo. Falar de produto com quem ainda não sabe que tem o problema é a quebra mais cara e mais comum.</t>
        </is>
      </c>
      <c r="D26" s="7" t="inlineStr">
        <is>
          <t>Copy no nível de consciência de quem chega</t>
        </is>
      </c>
      <c r="E26" s="7" t="inlineStr">
        <is>
          <t>Reescreva a primeira dobra no nível certo, ou separe a página por origem de tráfego. Uma LP não atende frio e fundo ao mesmo tempo.</t>
        </is>
      </c>
      <c r="F26" s="6" t="inlineStr">
        <is>
          <t>Crítico</t>
        </is>
      </c>
      <c r="G26" s="6" t="inlineStr">
        <is>
          <t>Pendente</t>
        </is>
      </c>
      <c r="H26" s="7" t="inlineStr"/>
    </row>
    <row r="27">
      <c r="A27" s="8" t="inlineStr"/>
      <c r="B27" s="9" t="inlineStr">
        <is>
          <t>Mecanismo explicado (por que funciona), não só o resultado</t>
        </is>
      </c>
      <c r="C27" s="9" t="inlineStr">
        <is>
          <t>Procure a explicação do COMO. Promessa sem mecanismo soa como qualquer concorrente e não vence ceticismo — sobretudo em ticket alto ou nicho saturado.</t>
        </is>
      </c>
      <c r="D27" s="9" t="inlineStr">
        <is>
          <t>Mecanismo nomeado e explicado em 1 bloco</t>
        </is>
      </c>
      <c r="E27" s="9" t="inlineStr">
        <is>
          <t>Nomeie o método/processo e explique em 3 a 5 linhas por que ele produz o resultado prometido.</t>
        </is>
      </c>
      <c r="F27" s="8" t="inlineStr">
        <is>
          <t>Importante</t>
        </is>
      </c>
      <c r="G27" s="8" t="inlineStr">
        <is>
          <t>Pendente</t>
        </is>
      </c>
      <c r="H27" s="9" t="inlineStr"/>
    </row>
    <row r="28">
      <c r="A28" s="6" t="inlineStr"/>
      <c r="B28" s="7" t="inlineStr">
        <is>
          <t>Teste da substituição: a copy é do cliente ou serve para qualquer um?</t>
        </is>
      </c>
      <c r="C28" s="7" t="inlineStr">
        <is>
          <t>Troque mentalmente o nome da empresa pelo de um concorrente. Se o texto continua funcionando, ele não diz nada de específico. Procure número, prazo, nome, situação concreta.</t>
        </is>
      </c>
      <c r="D28" s="7" t="inlineStr">
        <is>
          <t>Copy que só funciona para este negócio</t>
        </is>
      </c>
      <c r="E28" s="7" t="inlineStr">
        <is>
          <t>Substitua adjetivo por especificidade: resultado com número, prazo real, situação concreta do cliente.</t>
        </is>
      </c>
      <c r="F28" s="6" t="inlineStr">
        <is>
          <t>Importante</t>
        </is>
      </c>
      <c r="G28" s="6" t="inlineStr">
        <is>
          <t>Pendente</t>
        </is>
      </c>
      <c r="H28" s="7" t="inlineStr"/>
    </row>
    <row r="29">
      <c r="A29" s="8" t="inlineStr"/>
      <c r="B29" s="9" t="inlineStr">
        <is>
          <t>Linguagem genérica ou com cara de texto gerado por IA</t>
        </is>
      </c>
      <c r="C29" s="9" t="inlineStr">
        <is>
          <t>Procure palavras de enchimento (incrível, revolucionário, transformador), clichês sem prova (resultados comprovados, método definitivo, oportunidade única), frases binárias ('não é só X. É Y.') e pergunta retórica na abertura. Texto que soa artificial derruba confiança justamente em quem está decidindo.</t>
        </is>
      </c>
      <c r="D29" s="9" t="inlineStr">
        <is>
          <t>Sem clichê de mercado e sem padrão de texto gerado</t>
        </is>
      </c>
      <c r="E29" s="9" t="inlineStr">
        <is>
          <t>Reescreva no concreto: o que acontece, para quem, em quanto tempo. Corte adjetivo sem prova.</t>
        </is>
      </c>
      <c r="F29" s="8" t="inlineStr">
        <is>
          <t>Bom ter</t>
        </is>
      </c>
      <c r="G29" s="8" t="inlineStr">
        <is>
          <t>Pendente</t>
        </is>
      </c>
      <c r="H29" s="9" t="inlineStr"/>
    </row>
    <row r="30" ht="20" customHeight="1">
      <c r="A30" s="2" t="inlineStr">
        <is>
          <t>1.5 Confiança e conformidade</t>
        </is>
      </c>
    </row>
    <row r="31">
      <c r="A31" s="6" t="inlineStr"/>
      <c r="B31" s="7" t="inlineStr">
        <is>
          <t>Política de privacidade e LGPD</t>
        </is>
      </c>
      <c r="C31" s="7" t="inlineStr">
        <is>
          <t>Confira link visível para a política de privacidade e a base legal de coleta de dados. Obrigatório ao captar leads no Brasil.</t>
        </is>
      </c>
      <c r="D31" s="7" t="inlineStr">
        <is>
          <t>Política acessível + base LGPD</t>
        </is>
      </c>
      <c r="E31" s="7" t="inlineStr">
        <is>
          <t>Publique a política de privacidade e linke no formulário e no rodapé.</t>
        </is>
      </c>
      <c r="F31" s="6" t="inlineStr">
        <is>
          <t>Importante</t>
        </is>
      </c>
      <c r="G31" s="6" t="inlineStr">
        <is>
          <t>Pendente</t>
        </is>
      </c>
      <c r="H31" s="7" t="inlineStr"/>
    </row>
    <row r="32">
      <c r="A32" s="8" t="inlineStr"/>
      <c r="B32" s="9" t="inlineStr">
        <is>
          <t>Consentimento na coleta de dados</t>
        </is>
      </c>
      <c r="C32" s="9" t="inlineStr">
        <is>
          <t>Veja se há consentimento explícito (checkbox/aviso) para o uso dos dados e contato. Consentimento protege a operação.</t>
        </is>
      </c>
      <c r="D32" s="9" t="inlineStr">
        <is>
          <t>Consentimento explícito no formulário</t>
        </is>
      </c>
      <c r="E32" s="9" t="inlineStr">
        <is>
          <t>Adicione aviso/checkbox de consentimento com link para a política.</t>
        </is>
      </c>
      <c r="F32" s="8" t="inlineStr">
        <is>
          <t>Importante</t>
        </is>
      </c>
      <c r="G32" s="8" t="inlineStr">
        <is>
          <t>Pendente</t>
        </is>
      </c>
      <c r="H32" s="9" t="inlineStr"/>
    </row>
    <row r="33">
      <c r="A33" s="6" t="inlineStr"/>
      <c r="B33" s="7" t="inlineStr">
        <is>
          <t>Sinais de confiança: selos, garantia e contato visível</t>
        </is>
      </c>
      <c r="C33" s="7" t="inlineStr">
        <is>
          <t>Confira selos de segurança, garantia e certificações que reduzam o risco percebido, e se há um canal de contato (WhatsApp, e-mail, telefone). Ausência total de contato gera desconfiança.</t>
        </is>
      </c>
      <c r="D33" s="7" t="inlineStr">
        <is>
          <t>Selos/garantia + ao menos 1 canal de contato</t>
        </is>
      </c>
      <c r="E33" s="7" t="inlineStr">
        <is>
          <t>Inclua selos reais e garantia clara perto do CTA; adicione um canal de contato que funcione.</t>
        </is>
      </c>
      <c r="F33" s="6" t="inlineStr">
        <is>
          <t>Bom ter</t>
        </is>
      </c>
      <c r="G33" s="6" t="inlineStr">
        <is>
          <t>Pendente</t>
        </is>
      </c>
      <c r="H33" s="7" t="inlineStr"/>
    </row>
    <row r="34">
      <c r="A34" s="8" t="inlineStr"/>
      <c r="B34" s="9" t="inlineStr">
        <is>
          <t>Coerência visual com a marca</t>
        </is>
      </c>
      <c r="C34" s="9" t="inlineStr">
        <is>
          <t>Compare cores, tipografia e logo da LP com a identidade da marca e do anúncio. Inconsistência sinaliza amadorismo.</t>
        </is>
      </c>
      <c r="D34" s="9" t="inlineStr">
        <is>
          <t>Identidade alinhada à marca e ao anúncio</t>
        </is>
      </c>
      <c r="E34" s="9" t="inlineStr">
        <is>
          <t>Padronize logo, paleta e tipografia conforme o manual da marca.</t>
        </is>
      </c>
      <c r="F34" s="8" t="inlineStr">
        <is>
          <t>Bom ter</t>
        </is>
      </c>
      <c r="G34" s="8" t="inlineStr">
        <is>
          <t>Pendente</t>
        </is>
      </c>
      <c r="H34" s="9" t="inlineStr"/>
    </row>
  </sheetData>
  <mergeCells count="7">
    <mergeCell ref="A4:H4"/>
    <mergeCell ref="A21:H21"/>
    <mergeCell ref="A30:H30"/>
    <mergeCell ref="A15:H15"/>
    <mergeCell ref="A2:H2"/>
    <mergeCell ref="A10:H10"/>
    <mergeCell ref="A1:H1"/>
  </mergeCells>
  <conditionalFormatting sqref="G4:G34">
    <cfRule type="cellIs" priority="1" operator="equal" dxfId="0">
      <formula>"OK"</formula>
    </cfRule>
    <cfRule type="cellIs" priority="2" operator="equal" dxfId="1">
      <formula>"Ajustar"</formula>
    </cfRule>
    <cfRule type="cellIs" priority="3" operator="equal" dxfId="2">
      <formula>"Crítico"</formula>
    </cfRule>
    <cfRule type="cellIs" priority="4" operator="equal" dxfId="3">
      <formula>"N/A"</formula>
    </cfRule>
    <cfRule type="cellIs" priority="5" operator="equal" dxfId="4">
      <formula>"Pendente"</formula>
    </cfRule>
  </conditionalFormatting>
  <conditionalFormatting sqref="F4:F34">
    <cfRule type="cellIs" priority="6" operator="equal" dxfId="2">
      <formula>"Crítico"</formula>
    </cfRule>
    <cfRule type="cellIs" priority="7" operator="equal" dxfId="1">
      <formula>"Importante"</formula>
    </cfRule>
    <cfRule type="cellIs" priority="8" operator="equal" dxfId="3">
      <formula>"Bom ter"</formula>
    </cfRule>
  </conditionalFormatting>
  <conditionalFormatting sqref="A4:A34">
    <cfRule type="expression" priority="9" dxfId="0">
      <formula>A4="✓"</formula>
    </cfRule>
  </conditionalFormatting>
  <dataValidations count="2">
    <dataValidation sqref="G4:G34" showDropDown="0" showInputMessage="0" showErrorMessage="0" allowBlank="1" type="list">
      <formula1>_Listas!$A$1:$A$5</formula1>
    </dataValidation>
    <dataValidation sqref="A4:A34" showDropDown="0" showInputMessage="0" showErrorMessage="0" allowBlank="1" type="list">
      <formula1>_Listas!$B$1:$B$1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10" customWidth="1" min="4" max="4"/>
    <col width="10" customWidth="1" min="5" max="5"/>
    <col width="11" customWidth="1" min="6" max="6"/>
    <col width="8" customWidth="1" min="7" max="7"/>
    <col width="14" customWidth="1" min="8" max="8"/>
  </cols>
  <sheetData>
    <row r="1" ht="30" customHeight="1">
      <c r="A1" s="1" t="inlineStr">
        <is>
          <t>RESUMO DA AUDITORIA</t>
        </is>
      </c>
    </row>
    <row r="2" ht="18" customHeight="1">
      <c r="A2" s="2" t="inlineStr">
        <is>
          <t>V4 Company  ·  preenche automaticamente conforme o Status</t>
        </is>
      </c>
    </row>
    <row r="3" ht="24" customHeight="1">
      <c r="A3" s="5" t="inlineStr">
        <is>
          <t>Frente</t>
        </is>
      </c>
      <c r="B3" s="5" t="inlineStr">
        <is>
          <t>Itens</t>
        </is>
      </c>
      <c r="C3" s="5" t="inlineStr">
        <is>
          <t>OK</t>
        </is>
      </c>
      <c r="D3" s="5" t="inlineStr">
        <is>
          <t>Ajustar</t>
        </is>
      </c>
      <c r="E3" s="5" t="inlineStr">
        <is>
          <t>Crítico</t>
        </is>
      </c>
      <c r="F3" s="5" t="inlineStr">
        <is>
          <t>Pendente</t>
        </is>
      </c>
      <c r="G3" s="5" t="inlineStr">
        <is>
          <t>N/A</t>
        </is>
      </c>
      <c r="H3" s="5" t="inlineStr">
        <is>
          <t>% revisado</t>
        </is>
      </c>
    </row>
    <row r="4">
      <c r="A4" s="10" t="inlineStr">
        <is>
          <t>Landing Page</t>
        </is>
      </c>
      <c r="B4" s="11">
        <f>SUM(C4:G4)</f>
        <v/>
      </c>
      <c r="C4" s="11">
        <f>COUNTIF('Landing Page'!G:G,"OK")</f>
        <v/>
      </c>
      <c r="D4" s="11">
        <f>COUNTIF('Landing Page'!G:G,"Ajustar")</f>
        <v/>
      </c>
      <c r="E4" s="11">
        <f>COUNTIF('Landing Page'!G:G,"Crítico")</f>
        <v/>
      </c>
      <c r="F4" s="11">
        <f>COUNTIF('Landing Page'!G:G,"Pendente")</f>
        <v/>
      </c>
      <c r="G4" s="11">
        <f>COUNTIF('Landing Page'!G:G,"N/A")</f>
        <v/>
      </c>
      <c r="H4" s="12">
        <f>IF(B4=0,0,(C4+G4)/B4)</f>
        <v/>
      </c>
    </row>
    <row r="5">
      <c r="A5" s="13" t="inlineStr">
        <is>
          <t>TOTAL</t>
        </is>
      </c>
      <c r="B5" s="14">
        <f>SUM(B4:B4)</f>
        <v/>
      </c>
      <c r="C5" s="14">
        <f>SUM(C4:C4)</f>
        <v/>
      </c>
      <c r="D5" s="14">
        <f>SUM(D4:D4)</f>
        <v/>
      </c>
      <c r="E5" s="14">
        <f>SUM(E4:E4)</f>
        <v/>
      </c>
      <c r="F5" s="14">
        <f>SUM(F4:F4)</f>
        <v/>
      </c>
      <c r="G5" s="14">
        <f>SUM(G4:G4)</f>
        <v/>
      </c>
      <c r="H5" s="15">
        <f>IF(B5=0,0,(C5+G5)/B5)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Pendente</t>
        </is>
      </c>
      <c r="B1" t="inlineStr">
        <is>
          <t>✓</t>
        </is>
      </c>
    </row>
    <row r="2">
      <c r="A2" t="inlineStr">
        <is>
          <t>OK</t>
        </is>
      </c>
    </row>
    <row r="3">
      <c r="A3" t="inlineStr">
        <is>
          <t>Ajustar</t>
        </is>
      </c>
    </row>
    <row r="4">
      <c r="A4" t="inlineStr">
        <is>
          <t>Crítico</t>
        </is>
      </c>
    </row>
    <row r="5">
      <c r="A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2026-07-21T14:57:23Z</dcterms:created>
  <dcterms:modified xsi:type="dcterms:W3CDTF">2026-07-21T14:57:23Z</dcterms:modified>
</cp:coreProperties>
</file>