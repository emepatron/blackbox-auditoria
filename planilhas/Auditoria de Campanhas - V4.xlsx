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o usar" sheetId="1" state="visible" r:id="rId1"/>
    <sheet name="Fundamentos" sheetId="2" state="visible" r:id="rId2"/>
    <sheet name="Meta Ads" sheetId="3" state="visible" r:id="rId3"/>
    <sheet name="Google Ads" sheetId="4" state="visible" r:id="rId4"/>
    <sheet name="LinkedIn Ads" sheetId="5" state="visible" r:id="rId5"/>
    <sheet name="TikTok Ads" sheetId="6" state="visible" r:id="rId6"/>
    <sheet name="Resumo" sheetId="7" state="visible" r:id="rId7"/>
    <sheet name="_Listas" sheetId="8" state="hidden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0"/>
    </font>
    <font>
      <name val="Arial"/>
      <b val="1"/>
      <color rgb="000A0A0A"/>
      <sz val="12"/>
    </font>
    <font>
      <name val="Arial"/>
      <color rgb="000A0A0A"/>
      <sz val="10"/>
    </font>
  </fonts>
  <fills count="7">
    <fill>
      <patternFill/>
    </fill>
    <fill>
      <patternFill patternType="gray125"/>
    </fill>
    <fill>
      <patternFill patternType="solid">
        <fgColor rgb="00FF0037"/>
      </patternFill>
    </fill>
    <fill>
      <patternFill patternType="solid">
        <fgColor rgb="000A0A0A"/>
      </patternFill>
    </fill>
    <fill>
      <patternFill patternType="solid">
        <fgColor rgb="003A3A42"/>
      </patternFill>
    </fill>
    <fill>
      <patternFill patternType="solid">
        <fgColor rgb="00FFFFFF"/>
      </patternFill>
    </fill>
    <fill>
      <patternFill patternType="solid">
        <fgColor rgb="00FAFAFA"/>
      </patternFill>
    </fill>
  </fills>
  <borders count="2">
    <border>
      <left/>
      <right/>
      <top/>
      <bottom/>
      <diagonal/>
    </border>
    <border>
      <left style="thin">
        <color rgb="00EAEAEC"/>
      </left>
      <right style="thin">
        <color rgb="00EAEAEC"/>
      </right>
      <top style="thin">
        <color rgb="00EAEAEC"/>
      </top>
      <bottom style="thin">
        <color rgb="00EAEAE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2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top"/>
    </xf>
    <xf numFmtId="0" fontId="4" fillId="5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center" vertical="top"/>
    </xf>
    <xf numFmtId="0" fontId="4" fillId="6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left"/>
    </xf>
    <xf numFmtId="0" fontId="4" fillId="5" borderId="1" applyAlignment="1" pivotButton="0" quotePrefix="0" xfId="0">
      <alignment horizontal="center"/>
    </xf>
    <xf numFmtId="9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left"/>
    </xf>
    <xf numFmtId="0" fontId="4" fillId="6" borderId="1" applyAlignment="1" pivotButton="0" quotePrefix="0" xfId="0">
      <alignment horizontal="center"/>
    </xf>
    <xf numFmtId="9" fontId="4" fillId="6" borderId="1" applyAlignment="1" pivotButton="0" quotePrefix="0" xfId="0">
      <alignment horizontal="center"/>
    </xf>
    <xf numFmtId="0" fontId="2" fillId="3" borderId="1" applyAlignment="1" pivotButton="0" quotePrefix="0" xfId="0">
      <alignment horizontal="left"/>
    </xf>
    <xf numFmtId="0" fontId="2" fillId="3" borderId="1" applyAlignment="1" pivotButton="0" quotePrefix="0" xfId="0">
      <alignment horizontal="center"/>
    </xf>
    <xf numFmtId="9" fontId="2" fillId="3" borderId="1" applyAlignment="1" pivotButton="0" quotePrefix="0" xfId="0">
      <alignment horizontal="center"/>
    </xf>
  </cellXfs>
  <cellStyles count="1">
    <cellStyle name="Normal" xfId="0" builtinId="0" hidden="0"/>
  </cellStyles>
  <dxfs count="5">
    <dxf>
      <font>
        <color rgb="00166534"/>
      </font>
      <fill>
        <patternFill patternType="solid">
          <fgColor rgb="00DCFCE7"/>
        </patternFill>
      </fill>
    </dxf>
    <dxf>
      <font>
        <color rgb="0092400E"/>
      </font>
      <fill>
        <patternFill patternType="solid">
          <fgColor rgb="00FEF3C7"/>
        </patternFill>
      </fill>
    </dxf>
    <dxf>
      <font>
        <color rgb="00991B1B"/>
      </font>
      <fill>
        <patternFill patternType="solid">
          <fgColor rgb="00FEE2E2"/>
        </patternFill>
      </fill>
    </dxf>
    <dxf>
      <font>
        <color rgb="005A5A62"/>
      </font>
      <fill>
        <patternFill patternType="solid">
          <fgColor rgb="00E5E7EB"/>
        </patternFill>
      </fill>
    </dxf>
    <dxf>
      <font>
        <color rgb="005A5A62"/>
      </font>
      <fill>
        <patternFill patternType="solid">
          <fgColor rgb="00F4F4F5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4" customWidth="1" min="1" max="1"/>
    <col width="112" customWidth="1" min="2" max="2"/>
  </cols>
  <sheetData>
    <row r="1" ht="30" customHeight="1">
      <c r="A1" s="1" t="inlineStr">
        <is>
          <t>AUDITORIA DE CAMPANHAS — TRÁFEGO PAGO</t>
        </is>
      </c>
    </row>
    <row r="2" ht="18" customHeight="1">
      <c r="A2" s="2" t="inlineStr">
        <is>
          <t>V4 Company  ·  Como usar esta auditoria</t>
        </is>
      </c>
    </row>
    <row r="4">
      <c r="B4" s="3" t="inlineStr">
        <is>
          <t>Para que serve</t>
        </is>
      </c>
    </row>
    <row r="5">
      <c r="B5" s="4" t="inlineStr">
        <is>
          <t>•  Auditar contas de mídia paga (Meta, Google, LinkedIn, TikTok) de forma padronizada.</t>
        </is>
      </c>
    </row>
    <row r="6">
      <c r="B6" s="4" t="inlineStr">
        <is>
          <t>•  Identificar erros, oportunidades de otimização e pontos de escala antes e durante a operação.</t>
        </is>
      </c>
    </row>
    <row r="7">
      <c r="B7" s="4" t="inlineStr">
        <is>
          <t>•  Serve sozinha (sem IA) ou como base para a auditoria assistida do Blackbox.</t>
        </is>
      </c>
    </row>
    <row r="9">
      <c r="B9" s="3" t="inlineStr">
        <is>
          <t>Passo a passo</t>
        </is>
      </c>
    </row>
    <row r="10">
      <c r="B10" s="4" t="inlineStr">
        <is>
          <t>1. Preencha o topo com contexto do cliente (investimento, ticket, produto) nas Observações se quiser.</t>
        </is>
      </c>
    </row>
    <row r="11">
      <c r="B11" s="4" t="inlineStr">
        <is>
          <t>2. Comece pela aba Fundamentos (vale para todos os canais).</t>
        </is>
      </c>
    </row>
    <row r="12">
      <c r="B12" s="4" t="inlineStr">
        <is>
          <t>3. Depois audite cada canal ativo na aba correspondente. Pule canais que o cliente não usa (marque N/A).</t>
        </is>
      </c>
    </row>
    <row r="13">
      <c r="B13" s="4" t="inlineStr">
        <is>
          <t>4. Para cada item: leia 'Como auditar', compare com o 'Benchmark', defina o Status e anote em Observações.</t>
        </is>
      </c>
    </row>
    <row r="14">
      <c r="B14" s="4" t="inlineStr">
        <is>
          <t>5. Quando o Status for Ajustar/Crítico, registre o plano na coluna 'Como corrigir' como guia.</t>
        </is>
      </c>
    </row>
    <row r="15">
      <c r="B15" s="4" t="inlineStr">
        <is>
          <t>6. Acompanhe o progresso na aba Resumo (preenche automaticamente).</t>
        </is>
      </c>
    </row>
    <row r="17">
      <c r="B17" s="3" t="inlineStr">
        <is>
          <t>Como ler as colunas</t>
        </is>
      </c>
    </row>
    <row r="18">
      <c r="B18" s="4" t="inlineStr">
        <is>
          <t>•  Como auditar — onde olhar e o que verificar em cada ponto.</t>
        </is>
      </c>
    </row>
    <row r="19">
      <c r="B19" s="4" t="inlineStr">
        <is>
          <t>•  Benchmark / Referência 2026 — número de comparação. '(validar)' = confirmar no contexto do cliente.</t>
        </is>
      </c>
    </row>
    <row r="20">
      <c r="B20" s="4" t="inlineStr">
        <is>
          <t>•  Como corrigir — o que fazer quando o ponto está fora do esperado.</t>
        </is>
      </c>
    </row>
    <row r="21">
      <c r="B21" s="4" t="inlineStr">
        <is>
          <t>•  Criticidade — Crítico (resolver já) · Importante (resolver no ciclo) · Bom ter (ganho marginal).</t>
        </is>
      </c>
    </row>
    <row r="22">
      <c r="B22" s="4" t="inlineStr">
        <is>
          <t>•  Status — Pendente / OK / Ajustar / Crítico / N/A (menu suspenso). A aba Resumo conta sozinha.</t>
        </is>
      </c>
    </row>
    <row r="23">
      <c r="B23" s="4" t="inlineStr">
        <is>
          <t>•  Coluna ✓ — selecione o ✓ para marcar o item como revisado (fica verde).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40" customWidth="1" min="2" max="2"/>
    <col width="58" customWidth="1" min="3" max="3"/>
    <col width="26" customWidth="1" min="4" max="4"/>
    <col width="50" customWidth="1" min="5" max="5"/>
    <col width="14" customWidth="1" min="6" max="6"/>
    <col width="14" customWidth="1" min="7" max="7"/>
    <col width="28" customWidth="1" min="8" max="8"/>
  </cols>
  <sheetData>
    <row r="1" ht="30" customHeight="1">
      <c r="A1" s="1" t="inlineStr">
        <is>
          <t>AUDITORIA DE CAMPANHAS — TRÁFEGO PAGO</t>
        </is>
      </c>
    </row>
    <row r="2" ht="18" customHeight="1">
      <c r="A2" s="2" t="inlineStr">
        <is>
          <t>V4 Company  ·  Fundamentos</t>
        </is>
      </c>
    </row>
    <row r="3" ht="24" customHeight="1">
      <c r="A3" s="5" t="inlineStr">
        <is>
          <t>✓</t>
        </is>
      </c>
      <c r="B3" s="5" t="inlineStr">
        <is>
          <t>Item</t>
        </is>
      </c>
      <c r="C3" s="5" t="inlineStr">
        <is>
          <t>Como auditar (passo a passo + pontos de atenção)</t>
        </is>
      </c>
      <c r="D3" s="5" t="inlineStr">
        <is>
          <t>Benchmark / Referência 2026</t>
        </is>
      </c>
      <c r="E3" s="5" t="inlineStr">
        <is>
          <t>Como corrigir</t>
        </is>
      </c>
      <c r="F3" s="5" t="inlineStr">
        <is>
          <t>Criticidade</t>
        </is>
      </c>
      <c r="G3" s="5" t="inlineStr">
        <is>
          <t>Status</t>
        </is>
      </c>
      <c r="H3" s="5" t="inlineStr">
        <is>
          <t>Observações</t>
        </is>
      </c>
    </row>
    <row r="4" ht="20" customHeight="1">
      <c r="A4" s="2" t="inlineStr">
        <is>
          <t>1.1 Rastreamento e mensuração</t>
        </is>
      </c>
    </row>
    <row r="5">
      <c r="A5" s="6" t="inlineStr"/>
      <c r="B5" s="7" t="inlineStr">
        <is>
          <t>Pixel/tag instalado e disparando em todas as páginas</t>
        </is>
      </c>
      <c r="C5" s="7" t="inlineStr">
        <is>
          <t>Use o Meta Pixel Helper / Google Tag Assistant e o modo de teste de eventos. Navegue por home, LP, checkout e obrigado conferindo se o pixel carrega e o PageView dispara.</t>
        </is>
      </c>
      <c r="D5" s="7" t="inlineStr">
        <is>
          <t>100% das páginas com disparo confirmado</t>
        </is>
      </c>
      <c r="E5" s="7" t="inlineStr">
        <is>
          <t>Reinstale via GTM ou tag nativa; corrija o disparo nas páginas que faltam antes de subir verba.</t>
        </is>
      </c>
      <c r="F5" s="6" t="inlineStr">
        <is>
          <t>Crítico</t>
        </is>
      </c>
      <c r="G5" s="6" t="inlineStr">
        <is>
          <t>Pendente</t>
        </is>
      </c>
      <c r="H5" s="7" t="inlineStr"/>
    </row>
    <row r="6">
      <c r="A6" s="8" t="inlineStr"/>
      <c r="B6" s="9" t="inlineStr">
        <is>
          <t>Eventos de conversão configurados e validados</t>
        </is>
      </c>
      <c r="C6" s="9" t="inlineStr">
        <is>
          <t>No gerenciador de eventos, confira se Lead/Compra/AddToCart disparam com os parâmetros corretos (valor, moeda). Faça uma conversão teste e veja se aparece em tempo real.</t>
        </is>
      </c>
      <c r="D6" s="9" t="inlineStr">
        <is>
          <t>Evento principal + valor/moeda preenchidos</t>
        </is>
      </c>
      <c r="E6" s="9" t="inlineStr">
        <is>
          <t>Configure os eventos faltantes; padronize o evento-chave do funil (ex: Lead) e marque como conversão principal.</t>
        </is>
      </c>
      <c r="F6" s="8" t="inlineStr">
        <is>
          <t>Crítico</t>
        </is>
      </c>
      <c r="G6" s="8" t="inlineStr">
        <is>
          <t>Pendente</t>
        </is>
      </c>
      <c r="H6" s="9" t="inlineStr"/>
    </row>
    <row r="7">
      <c r="A7" s="6" t="inlineStr"/>
      <c r="B7" s="7" t="inlineStr">
        <is>
          <t>Conversões server-side ativas (Meta CAPI / Google Enhanced Conversions)</t>
        </is>
      </c>
      <c r="C7" s="7" t="inlineStr">
        <is>
          <t>Verifique CAPI no Meta (deduplicação por event_id) e Enhanced Conversions no Google. Cheque a qualidade do match/EMQ.</t>
        </is>
      </c>
      <c r="D7" s="7" t="inlineStr">
        <is>
          <t>EMQ Meta &gt;= 6; Enhanced Conversions ativo</t>
        </is>
      </c>
      <c r="E7" s="7" t="inlineStr">
        <is>
          <t>Ative server-side; garanta event_id para deduplicar; envie dados de 1ª parte (e-mail/telefone hasheados).</t>
        </is>
      </c>
      <c r="F7" s="6" t="inlineStr">
        <is>
          <t>Importante</t>
        </is>
      </c>
      <c r="G7" s="6" t="inlineStr">
        <is>
          <t>Pendente</t>
        </is>
      </c>
      <c r="H7" s="7" t="inlineStr"/>
    </row>
    <row r="8">
      <c r="A8" s="8" t="inlineStr"/>
      <c r="B8" s="9" t="inlineStr">
        <is>
          <t>UTMs padronizados em todos os links</t>
        </is>
      </c>
      <c r="C8" s="9" t="inlineStr">
        <is>
          <t>Liste os anúncios e confira utm_source/medium/campaign/content consistentes e sem espaços/maiúsculas quebradas. Cruze com o GA4.</t>
        </is>
      </c>
      <c r="D8" s="9" t="inlineStr">
        <is>
          <t>Padrão único documentado</t>
        </is>
      </c>
      <c r="E8" s="9" t="inlineStr">
        <is>
          <t>Defina convenção de UTM e aplique via planilha/gerador; corrija links divergentes.</t>
        </is>
      </c>
      <c r="F8" s="8" t="inlineStr">
        <is>
          <t>Importante</t>
        </is>
      </c>
      <c r="G8" s="8" t="inlineStr">
        <is>
          <t>Pendente</t>
        </is>
      </c>
      <c r="H8" s="9" t="inlineStr"/>
    </row>
    <row r="9">
      <c r="A9" s="6" t="inlineStr"/>
      <c r="B9" s="7" t="inlineStr">
        <is>
          <t>Consentimento / Consent Mode v2 (LGPD)</t>
        </is>
      </c>
      <c r="C9" s="7" t="inlineStr">
        <is>
          <t>Confirme banner de cookies e Consent Mode v2 enviando sinais de consentimento. Sem isso, mensuração e modelagem ficam comprometidas.</t>
        </is>
      </c>
      <c r="D9" s="7" t="inlineStr">
        <is>
          <t>Consent Mode v2 ativo</t>
        </is>
      </c>
      <c r="E9" s="7" t="inlineStr">
        <is>
          <t>Implemente CMP + Consent Mode v2; ajuste o GTM para respeitar o consentimento.</t>
        </is>
      </c>
      <c r="F9" s="6" t="inlineStr">
        <is>
          <t>Importante</t>
        </is>
      </c>
      <c r="G9" s="6" t="inlineStr">
        <is>
          <t>Pendente</t>
        </is>
      </c>
      <c r="H9" s="7" t="inlineStr"/>
    </row>
    <row r="10">
      <c r="A10" s="8" t="inlineStr"/>
      <c r="B10" s="9" t="inlineStr">
        <is>
          <t>Janela de atribuição definida e coerente</t>
        </is>
      </c>
      <c r="C10" s="9" t="inlineStr">
        <is>
          <t>Veja a janela usada (ex: 7d clique / 1d visualização no Meta) e se é a mesma referência usada no relatório ao cliente.</t>
        </is>
      </c>
      <c r="D10" s="9" t="inlineStr">
        <is>
          <t>Mesma janela na conta e no report</t>
        </is>
      </c>
      <c r="E10" s="9" t="inlineStr">
        <is>
          <t>Padronize a janela; alinhe a leitura de resultado com o cliente para não comparar bases diferentes.</t>
        </is>
      </c>
      <c r="F10" s="8" t="inlineStr">
        <is>
          <t>Bom ter</t>
        </is>
      </c>
      <c r="G10" s="8" t="inlineStr">
        <is>
          <t>Pendente</t>
        </is>
      </c>
      <c r="H10" s="9" t="inlineStr"/>
    </row>
    <row r="11" ht="20" customHeight="1">
      <c r="A11" s="2" t="inlineStr">
        <is>
          <t>1.2 Estrutura e nomenclatura da conta</t>
        </is>
      </c>
    </row>
    <row r="12">
      <c r="A12" s="6" t="inlineStr"/>
      <c r="B12" s="7" t="inlineStr">
        <is>
          <t>Padrão de nomenclatura consistente</t>
        </is>
      </c>
      <c r="C12" s="7" t="inlineStr">
        <is>
          <t>Abra campanhas/conjuntos/anúncios e veja se há padrão legível (objetivo, público, criativo). Nomes aleatórios travam a leitura.</t>
        </is>
      </c>
      <c r="D12" s="7" t="inlineStr">
        <is>
          <t>Convenção única em 100% dos itens</t>
        </is>
      </c>
      <c r="E12" s="7" t="inlineStr">
        <is>
          <t>Aplique nomenclatura padrão (ex: [Funil]_[Publico]_[Oferta]_[Criativo]).</t>
        </is>
      </c>
      <c r="F12" s="6" t="inlineStr">
        <is>
          <t>Importante</t>
        </is>
      </c>
      <c r="G12" s="6" t="inlineStr">
        <is>
          <t>Pendente</t>
        </is>
      </c>
      <c r="H12" s="7" t="inlineStr"/>
    </row>
    <row r="13">
      <c r="A13" s="8" t="inlineStr"/>
      <c r="B13" s="9" t="inlineStr">
        <is>
          <t>Separação por etapa de funil (topo/meio/fundo)</t>
        </is>
      </c>
      <c r="C13" s="9" t="inlineStr">
        <is>
          <t>Confirme se prospecção, consideração e remarketing estão separados em campanhas distintas, com mensagem adequada a cada etapa.</t>
        </is>
      </c>
      <c r="D13" s="9" t="inlineStr">
        <is>
          <t>Funil segmentado</t>
        </is>
      </c>
      <c r="E13" s="9" t="inlineStr">
        <is>
          <t>Reorganize: separe aquisição de remarketing; ajuste a oferta por temperatura do público.</t>
        </is>
      </c>
      <c r="F13" s="8" t="inlineStr">
        <is>
          <t>Importante</t>
        </is>
      </c>
      <c r="G13" s="8" t="inlineStr">
        <is>
          <t>Pendente</t>
        </is>
      </c>
      <c r="H13" s="9" t="inlineStr"/>
    </row>
    <row r="14">
      <c r="A14" s="6" t="inlineStr"/>
      <c r="B14" s="7" t="inlineStr">
        <is>
          <t>Uma conversão-objetivo clara por campanha</t>
        </is>
      </c>
      <c r="C14" s="7" t="inlineStr">
        <is>
          <t>Cada campanha deve otimizar para um único objetivo coerente com a etapa. Objetivo errado queima verba.</t>
        </is>
      </c>
      <c r="D14" s="7" t="inlineStr">
        <is>
          <t>1 objetivo por campanha</t>
        </is>
      </c>
      <c r="E14" s="7" t="inlineStr">
        <is>
          <t>Realinhe o objetivo de otimização ao resultado de negócio (ex: Lead, Compra).</t>
        </is>
      </c>
      <c r="F14" s="6" t="inlineStr">
        <is>
          <t>Crítico</t>
        </is>
      </c>
      <c r="G14" s="6" t="inlineStr">
        <is>
          <t>Pendente</t>
        </is>
      </c>
      <c r="H14" s="7" t="inlineStr"/>
    </row>
    <row r="15" ht="20" customHeight="1">
      <c r="A15" s="2" t="inlineStr">
        <is>
          <t>1.3 Verba e objetivo</t>
        </is>
      </c>
    </row>
    <row r="16">
      <c r="A16" s="8" t="inlineStr"/>
      <c r="B16" s="9" t="inlineStr">
        <is>
          <t>Investimento coerente com ticket e meta de CPL/CPA</t>
        </is>
      </c>
      <c r="C16" s="9" t="inlineStr">
        <is>
          <t>Calcule CPL/CPA-alvo a partir do ticket médio e da taxa de conversão. Veja se a verba comporta volume mínimo de resultados.</t>
        </is>
      </c>
      <c r="D16" s="9" t="inlineStr">
        <is>
          <t>CPA-alvo = ticket x margem permitida</t>
        </is>
      </c>
      <c r="E16" s="9" t="inlineStr">
        <is>
          <t>Reabra a meta com o cliente; ajuste verba ou oferta para o CPA fazer sentido.</t>
        </is>
      </c>
      <c r="F16" s="8" t="inlineStr">
        <is>
          <t>Crítico</t>
        </is>
      </c>
      <c r="G16" s="8" t="inlineStr">
        <is>
          <t>Pendente</t>
        </is>
      </c>
      <c r="H16" s="9" t="inlineStr"/>
    </row>
    <row r="17">
      <c r="A17" s="6" t="inlineStr"/>
      <c r="B17" s="7" t="inlineStr">
        <is>
          <t>Distribuição aquisição vs remarketing</t>
        </is>
      </c>
      <c r="C17" s="7" t="inlineStr">
        <is>
          <t>Veja o % de verba em prospecção vs remarketing. Remarketing canibaliza se domina o orçamento.</t>
        </is>
      </c>
      <c r="D17" s="7" t="inlineStr">
        <is>
          <t>Maioria em aquisição/conversão (topo)</t>
        </is>
      </c>
      <c r="E17" s="7" t="inlineStr">
        <is>
          <t>Realoque verba para aquisição; limite remarketing ao tamanho real do público quente.</t>
        </is>
      </c>
      <c r="F17" s="6" t="inlineStr">
        <is>
          <t>Importante</t>
        </is>
      </c>
      <c r="G17" s="6" t="inlineStr">
        <is>
          <t>Pendente</t>
        </is>
      </c>
      <c r="H17" s="7" t="inlineStr"/>
    </row>
    <row r="18">
      <c r="A18" s="8" t="inlineStr"/>
      <c r="B18" s="9" t="inlineStr">
        <is>
          <t>Orçamento sai da fase de aprendizado</t>
        </is>
      </c>
      <c r="C18" s="9" t="inlineStr">
        <is>
          <t>Confira se os conjuntos atingem o volume mínimo de conversões para sair de 'aprendizado' (Meta) ou estabilizar (Google).</t>
        </is>
      </c>
      <c r="D18" s="9" t="inlineStr">
        <is>
          <t>~50 conversões/conjunto/semana (Meta)</t>
        </is>
      </c>
      <c r="E18" s="9" t="inlineStr">
        <is>
          <t>Consolide conjuntos; aumente verba por conjunto ou simplifique a estrutura.</t>
        </is>
      </c>
      <c r="F18" s="8" t="inlineStr">
        <is>
          <t>Importante</t>
        </is>
      </c>
      <c r="G18" s="8" t="inlineStr">
        <is>
          <t>Pendente</t>
        </is>
      </c>
      <c r="H18" s="9" t="inlineStr"/>
    </row>
    <row r="19" ht="20" customHeight="1">
      <c r="A19" s="2" t="inlineStr">
        <is>
          <t>1.4 Oferta, criativo e mensagem</t>
        </is>
      </c>
    </row>
    <row r="20">
      <c r="A20" s="6" t="inlineStr"/>
      <c r="B20" s="7" t="inlineStr">
        <is>
          <t>Promessa do anúncio alinhada ao destino</t>
        </is>
      </c>
      <c r="C20" s="7" t="inlineStr">
        <is>
          <t>Clique nos anúncios e compare a promessa com a primeira dobra da LP. Quebra de continuidade derruba conversão.</t>
        </is>
      </c>
      <c r="D20" s="7" t="inlineStr">
        <is>
          <t>Mensagem anúncio = LP</t>
        </is>
      </c>
      <c r="E20" s="7" t="inlineStr">
        <is>
          <t>Alinhe headline e oferta do anúncio com a LP; padronize argumento e prova.</t>
        </is>
      </c>
      <c r="F20" s="6" t="inlineStr">
        <is>
          <t>Crítico</t>
        </is>
      </c>
      <c r="G20" s="6" t="inlineStr">
        <is>
          <t>Pendente</t>
        </is>
      </c>
      <c r="H20" s="7" t="inlineStr"/>
    </row>
    <row r="21">
      <c r="A21" s="8" t="inlineStr"/>
      <c r="B21" s="9" t="inlineStr">
        <is>
          <t>Volume mínimo de variações em teste</t>
        </is>
      </c>
      <c r="C21" s="9" t="inlineStr">
        <is>
          <t>Conte criativos ativos por conjunto. Pouca variação impede aprender o que funciona.</t>
        </is>
      </c>
      <c r="D21" s="9" t="inlineStr">
        <is>
          <t>&gt;= 3 criativos ativos por conjunto</t>
        </is>
      </c>
      <c r="E21" s="9" t="inlineStr">
        <is>
          <t>Produza novas variações (ângulo, formato, hook); estruture teste A/B.</t>
        </is>
      </c>
      <c r="F21" s="8" t="inlineStr">
        <is>
          <t>Importante</t>
        </is>
      </c>
      <c r="G21" s="8" t="inlineStr">
        <is>
          <t>Pendente</t>
        </is>
      </c>
      <c r="H21" s="9" t="inlineStr"/>
    </row>
    <row r="22">
      <c r="A22" s="6" t="inlineStr"/>
      <c r="B22" s="7" t="inlineStr">
        <is>
          <t>Hook nos 3 primeiros segundos / primeira linha</t>
        </is>
      </c>
      <c r="C22" s="7" t="inlineStr">
        <is>
          <t>Assista aos vídeos e leia a primeira linha dos textos. O começo precisa prender.</t>
        </is>
      </c>
      <c r="D22" s="7" t="inlineStr">
        <is>
          <t>Hook claro no início</t>
        </is>
      </c>
      <c r="E22" s="7" t="inlineStr">
        <is>
          <t>Refaça aberturas; teste ganchos de dor, número, pergunta e prova.</t>
        </is>
      </c>
      <c r="F22" s="6" t="inlineStr">
        <is>
          <t>Importante</t>
        </is>
      </c>
      <c r="G22" s="6" t="inlineStr">
        <is>
          <t>Pendente</t>
        </is>
      </c>
      <c r="H22" s="7" t="inlineStr"/>
    </row>
    <row r="23" ht="20" customHeight="1">
      <c r="A23" s="2" t="inlineStr">
        <is>
          <t>1.5 Métricas e leitura</t>
        </is>
      </c>
    </row>
    <row r="24">
      <c r="A24" s="8" t="inlineStr"/>
      <c r="B24" s="9" t="inlineStr">
        <is>
          <t>CTR dentro do aceitável</t>
        </is>
      </c>
      <c r="C24" s="9" t="inlineStr">
        <is>
          <t>Compare CTR (link) por canal com o benchmark. CTR baixo = criativo/público fracos.</t>
        </is>
      </c>
      <c r="D24" s="9" t="inlineStr">
        <is>
          <t>Meta &gt;1% · Google Search &gt;2-3% · TikTok &gt;1%</t>
        </is>
      </c>
      <c r="E24" s="9" t="inlineStr">
        <is>
          <t>Troque criativo/copy; refine público; teste novos ângulos.</t>
        </is>
      </c>
      <c r="F24" s="8" t="inlineStr">
        <is>
          <t>Importante</t>
        </is>
      </c>
      <c r="G24" s="8" t="inlineStr">
        <is>
          <t>Pendente</t>
        </is>
      </c>
      <c r="H24" s="9" t="inlineStr"/>
    </row>
    <row r="25">
      <c r="A25" s="6" t="inlineStr"/>
      <c r="B25" s="7" t="inlineStr">
        <is>
          <t>CPL/CPA dentro da meta</t>
        </is>
      </c>
      <c r="C25" s="7" t="inlineStr">
        <is>
          <t>Compare custo por resultado com o CPA-alvo do cliente, não com média genérica.</t>
        </is>
      </c>
      <c r="D25" s="7" t="inlineStr">
        <is>
          <t>&lt;= CPA-alvo do cliente</t>
        </is>
      </c>
      <c r="E25" s="7" t="inlineStr">
        <is>
          <t>Otimize criativo, público ou LP; corte o que está acima da meta.</t>
        </is>
      </c>
      <c r="F25" s="6" t="inlineStr">
        <is>
          <t>Crítico</t>
        </is>
      </c>
      <c r="G25" s="6" t="inlineStr">
        <is>
          <t>Pendente</t>
        </is>
      </c>
      <c r="H25" s="7" t="inlineStr"/>
    </row>
    <row r="26">
      <c r="A26" s="8" t="inlineStr"/>
      <c r="B26" s="9" t="inlineStr">
        <is>
          <t>Frequência sob controle (prospecção)</t>
        </is>
      </c>
      <c r="C26" s="9" t="inlineStr">
        <is>
          <t>Veja a frequência em campanhas de aquisição. Alta frequência cansa o público.</t>
        </is>
      </c>
      <c r="D26" s="9" t="inlineStr">
        <is>
          <t>&lt; 3 em prospecção</t>
        </is>
      </c>
      <c r="E26" s="9" t="inlineStr">
        <is>
          <t>Amplie público, renove criativo, limite frequência.</t>
        </is>
      </c>
      <c r="F26" s="8" t="inlineStr">
        <is>
          <t>Bom ter</t>
        </is>
      </c>
      <c r="G26" s="8" t="inlineStr">
        <is>
          <t>Pendente</t>
        </is>
      </c>
      <c r="H26" s="9" t="inlineStr"/>
    </row>
    <row r="27">
      <c r="A27" s="6" t="inlineStr"/>
      <c r="B27" s="7" t="inlineStr">
        <is>
          <t>ROAS acima da meta</t>
        </is>
      </c>
      <c r="C27" s="7" t="inlineStr">
        <is>
          <t>Para e-commerce/venda direta, compare ROAS com o break-even do cliente.</t>
        </is>
      </c>
      <c r="D27" s="7" t="inlineStr">
        <is>
          <t>&gt; ROAS de break-even</t>
        </is>
      </c>
      <c r="E27" s="7" t="inlineStr">
        <is>
          <t>Realoque verba para campanhas/criativos com melhor ROAS; pause os negativos.</t>
        </is>
      </c>
      <c r="F27" s="6" t="inlineStr">
        <is>
          <t>Importante</t>
        </is>
      </c>
      <c r="G27" s="6" t="inlineStr">
        <is>
          <t>Pendente</t>
        </is>
      </c>
      <c r="H27" s="7" t="inlineStr"/>
    </row>
    <row r="28">
      <c r="A28" s="8" t="inlineStr"/>
      <c r="B28" s="9" t="inlineStr">
        <is>
          <t>Rotina de otimização documentada</t>
        </is>
      </c>
      <c r="C28" s="9" t="inlineStr">
        <is>
          <t>Pergunte com que frequência a conta é otimizada e o que se olha. Sem rotina, a conta degrada.</t>
        </is>
      </c>
      <c r="D28" s="9" t="inlineStr">
        <is>
          <t>Cadência semanal mínima</t>
        </is>
      </c>
      <c r="E28" s="9" t="inlineStr">
        <is>
          <t>Crie ritual de otimização (leitura, corte, escala) e registre decisões.</t>
        </is>
      </c>
      <c r="F28" s="8" t="inlineStr">
        <is>
          <t>Bom ter</t>
        </is>
      </c>
      <c r="G28" s="8" t="inlineStr">
        <is>
          <t>Pendente</t>
        </is>
      </c>
      <c r="H28" s="9" t="inlineStr"/>
    </row>
  </sheetData>
  <mergeCells count="7">
    <mergeCell ref="A4:H4"/>
    <mergeCell ref="A15:H15"/>
    <mergeCell ref="A2:H2"/>
    <mergeCell ref="A19:H19"/>
    <mergeCell ref="A11:H11"/>
    <mergeCell ref="A1:H1"/>
    <mergeCell ref="A23:H23"/>
  </mergeCells>
  <conditionalFormatting sqref="G4:G28">
    <cfRule type="cellIs" priority="1" operator="equal" dxfId="0">
      <formula>"OK"</formula>
    </cfRule>
    <cfRule type="cellIs" priority="2" operator="equal" dxfId="1">
      <formula>"Ajustar"</formula>
    </cfRule>
    <cfRule type="cellIs" priority="3" operator="equal" dxfId="2">
      <formula>"Crítico"</formula>
    </cfRule>
    <cfRule type="cellIs" priority="4" operator="equal" dxfId="3">
      <formula>"N/A"</formula>
    </cfRule>
    <cfRule type="cellIs" priority="5" operator="equal" dxfId="4">
      <formula>"Pendente"</formula>
    </cfRule>
  </conditionalFormatting>
  <conditionalFormatting sqref="F4:F28">
    <cfRule type="cellIs" priority="6" operator="equal" dxfId="2">
      <formula>"Crítico"</formula>
    </cfRule>
    <cfRule type="cellIs" priority="7" operator="equal" dxfId="1">
      <formula>"Importante"</formula>
    </cfRule>
    <cfRule type="cellIs" priority="8" operator="equal" dxfId="3">
      <formula>"Bom ter"</formula>
    </cfRule>
  </conditionalFormatting>
  <conditionalFormatting sqref="A4:A28">
    <cfRule type="expression" priority="9" dxfId="0">
      <formula>A4="✓"</formula>
    </cfRule>
  </conditionalFormatting>
  <dataValidations count="2">
    <dataValidation sqref="G4:G28" showDropDown="0" showInputMessage="0" showErrorMessage="0" allowBlank="1" type="list">
      <formula1>_Listas!$A$1:$A$5</formula1>
    </dataValidation>
    <dataValidation sqref="A4:A28" showDropDown="0" showInputMessage="0" showErrorMessage="0" allowBlank="1" type="list">
      <formula1>_Listas!$B$1:$B$1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40" customWidth="1" min="2" max="2"/>
    <col width="58" customWidth="1" min="3" max="3"/>
    <col width="26" customWidth="1" min="4" max="4"/>
    <col width="50" customWidth="1" min="5" max="5"/>
    <col width="14" customWidth="1" min="6" max="6"/>
    <col width="14" customWidth="1" min="7" max="7"/>
    <col width="28" customWidth="1" min="8" max="8"/>
  </cols>
  <sheetData>
    <row r="1" ht="30" customHeight="1">
      <c r="A1" s="1" t="inlineStr">
        <is>
          <t>AUDITORIA DE CAMPANHAS — TRÁFEGO PAGO</t>
        </is>
      </c>
    </row>
    <row r="2" ht="18" customHeight="1">
      <c r="A2" s="2" t="inlineStr">
        <is>
          <t>V4 Company  ·  Meta Ads</t>
        </is>
      </c>
    </row>
    <row r="3" ht="24" customHeight="1">
      <c r="A3" s="5" t="inlineStr">
        <is>
          <t>✓</t>
        </is>
      </c>
      <c r="B3" s="5" t="inlineStr">
        <is>
          <t>Item</t>
        </is>
      </c>
      <c r="C3" s="5" t="inlineStr">
        <is>
          <t>Como auditar (passo a passo + pontos de atenção)</t>
        </is>
      </c>
      <c r="D3" s="5" t="inlineStr">
        <is>
          <t>Benchmark / Referência 2026</t>
        </is>
      </c>
      <c r="E3" s="5" t="inlineStr">
        <is>
          <t>Como corrigir</t>
        </is>
      </c>
      <c r="F3" s="5" t="inlineStr">
        <is>
          <t>Criticidade</t>
        </is>
      </c>
      <c r="G3" s="5" t="inlineStr">
        <is>
          <t>Status</t>
        </is>
      </c>
      <c r="H3" s="5" t="inlineStr">
        <is>
          <t>Observações</t>
        </is>
      </c>
    </row>
    <row r="4" ht="20" customHeight="1">
      <c r="A4" s="2" t="inlineStr">
        <is>
          <t>2.1 Configuração</t>
        </is>
      </c>
    </row>
    <row r="5">
      <c r="A5" s="6" t="inlineStr"/>
      <c r="B5" s="7" t="inlineStr">
        <is>
          <t>Pixel + CAPI com deduplicação</t>
        </is>
      </c>
      <c r="C5" s="7" t="inlineStr">
        <is>
          <t>No Gerenciador de Eventos, confira navegador + servidor com mesmo event_id (sem duplicar). Veja a cobertura de eventos.</t>
        </is>
      </c>
      <c r="D5" s="7" t="inlineStr">
        <is>
          <t>Deduplicação OK · EMQ &gt;= 6</t>
        </is>
      </c>
      <c r="E5" s="7" t="inlineStr">
        <is>
          <t>Implemente CAPI via Conversions API Gateway ou parceiro; alinhe event_id.</t>
        </is>
      </c>
      <c r="F5" s="6" t="inlineStr">
        <is>
          <t>Crítico</t>
        </is>
      </c>
      <c r="G5" s="6" t="inlineStr">
        <is>
          <t>Pendente</t>
        </is>
      </c>
      <c r="H5" s="7" t="inlineStr"/>
    </row>
    <row r="6">
      <c r="A6" s="8" t="inlineStr"/>
      <c r="B6" s="9" t="inlineStr">
        <is>
          <t>Domínio verificado + priorização de eventos (AEM)</t>
        </is>
      </c>
      <c r="C6" s="9" t="inlineStr">
        <is>
          <t>Confira se o domínio está verificado e os 8 eventos priorizados configurados (essencial pós-iOS).</t>
        </is>
      </c>
      <c r="D6" s="9" t="inlineStr">
        <is>
          <t>Domínio verificado + eventos priorizados</t>
        </is>
      </c>
      <c r="E6" s="9" t="inlineStr">
        <is>
          <t>Verifique o domínio no Business Manager e configure a priorização de eventos.</t>
        </is>
      </c>
      <c r="F6" s="8" t="inlineStr">
        <is>
          <t>Importante</t>
        </is>
      </c>
      <c r="G6" s="8" t="inlineStr">
        <is>
          <t>Pendente</t>
        </is>
      </c>
      <c r="H6" s="9" t="inlineStr"/>
    </row>
    <row r="7">
      <c r="A7" s="6" t="inlineStr"/>
      <c r="B7" s="7" t="inlineStr">
        <is>
          <t>Catálogo conectado (se e-commerce)</t>
        </is>
      </c>
      <c r="C7" s="7" t="inlineStr">
        <is>
          <t>Veja se o catálogo está sincronizado e sem erros, para Advantage+ Catalog e remarketing dinâmico.</t>
        </is>
      </c>
      <c r="D7" s="7" t="inlineStr">
        <is>
          <t>Catálogo sem erros</t>
        </is>
      </c>
      <c r="E7" s="7" t="inlineStr">
        <is>
          <t>Conecte/atualize o feed; corrija itens recusados.</t>
        </is>
      </c>
      <c r="F7" s="6" t="inlineStr">
        <is>
          <t>Bom ter</t>
        </is>
      </c>
      <c r="G7" s="6" t="inlineStr">
        <is>
          <t>Pendente</t>
        </is>
      </c>
      <c r="H7" s="7" t="inlineStr"/>
    </row>
    <row r="8" ht="20" customHeight="1">
      <c r="A8" s="2" t="inlineStr">
        <is>
          <t>2.2 Estrutura e estratégia</t>
        </is>
      </c>
    </row>
    <row r="9">
      <c r="A9" s="8" t="inlineStr"/>
      <c r="B9" s="9" t="inlineStr">
        <is>
          <t>CBO vs ABO conforme maturidade</t>
        </is>
      </c>
      <c r="C9" s="9" t="inlineStr">
        <is>
          <t>Veja se usa orçamento por campanha (Advantage Campaign Budget) ou por conjunto, e se faz sentido para o volume.</t>
        </is>
      </c>
      <c r="D9" s="9" t="inlineStr">
        <is>
          <t>CBO com volume; ABO para testar</t>
        </is>
      </c>
      <c r="E9" s="9" t="inlineStr">
        <is>
          <t>Use ABO para testes controlados e CBO para escalar o que valida.</t>
        </is>
      </c>
      <c r="F9" s="8" t="inlineStr">
        <is>
          <t>Importante</t>
        </is>
      </c>
      <c r="G9" s="8" t="inlineStr">
        <is>
          <t>Pendente</t>
        </is>
      </c>
      <c r="H9" s="9" t="inlineStr"/>
    </row>
    <row r="10">
      <c r="A10" s="6" t="inlineStr"/>
      <c r="B10" s="7" t="inlineStr">
        <is>
          <t>Advantage+ avaliado (ASC / públicos)</t>
        </is>
      </c>
      <c r="C10" s="7" t="inlineStr">
        <is>
          <t>Cheque se Advantage+ Shopping/Advantage+ Audience foi testado contra estrutura manual.</t>
        </is>
      </c>
      <c r="D10" s="7" t="inlineStr">
        <is>
          <t>ASC testado vs manual</t>
        </is>
      </c>
      <c r="E10" s="7" t="inlineStr">
        <is>
          <t>Teste ASC com verba dedicada; compare CPA contra a estrutura atual.</t>
        </is>
      </c>
      <c r="F10" s="6" t="inlineStr">
        <is>
          <t>Bom ter</t>
        </is>
      </c>
      <c r="G10" s="6" t="inlineStr">
        <is>
          <t>Pendente</t>
        </is>
      </c>
      <c r="H10" s="7" t="inlineStr"/>
    </row>
    <row r="11">
      <c r="A11" s="8" t="inlineStr"/>
      <c r="B11" s="9" t="inlineStr">
        <is>
          <t>Posicionamentos coerentes com o criativo</t>
        </is>
      </c>
      <c r="C11" s="9" t="inlineStr">
        <is>
          <t>Veja posicionamentos automáticos vs manuais e se os criativos têm o formato certo por posicionamento.</t>
        </is>
      </c>
      <c r="D11" s="9" t="inlineStr">
        <is>
          <t>Formato por posicionamento</t>
        </is>
      </c>
      <c r="E11" s="9" t="inlineStr">
        <is>
          <t>Use Advantage+ Placements com criativos adaptados (9:16, 1:1, 4:5).</t>
        </is>
      </c>
      <c r="F11" s="8" t="inlineStr">
        <is>
          <t>Importante</t>
        </is>
      </c>
      <c r="G11" s="8" t="inlineStr">
        <is>
          <t>Pendente</t>
        </is>
      </c>
      <c r="H11" s="9" t="inlineStr"/>
    </row>
    <row r="12" ht="20" customHeight="1">
      <c r="A12" s="2" t="inlineStr">
        <is>
          <t>2.3 Públicos</t>
        </is>
      </c>
    </row>
    <row r="13">
      <c r="A13" s="6" t="inlineStr"/>
      <c r="B13" s="7" t="inlineStr">
        <is>
          <t>Mix de públicos (nativos + lookalike + remarketing)</t>
        </is>
      </c>
      <c r="C13" s="7" t="inlineStr">
        <is>
          <t>Liste os públicos: interesses, lookalikes (a partir de compradores/leads), remarketing de site/engajamento.</t>
        </is>
      </c>
      <c r="D13" s="7" t="inlineStr">
        <is>
          <t>3 camadas presentes</t>
        </is>
      </c>
      <c r="E13" s="7" t="inlineStr">
        <is>
          <t>Crie lookalike de melhores clientes; estruture remarketing por temperatura.</t>
        </is>
      </c>
      <c r="F13" s="6" t="inlineStr">
        <is>
          <t>Importante</t>
        </is>
      </c>
      <c r="G13" s="6" t="inlineStr">
        <is>
          <t>Pendente</t>
        </is>
      </c>
      <c r="H13" s="7" t="inlineStr"/>
    </row>
    <row r="14">
      <c r="A14" s="8" t="inlineStr"/>
      <c r="B14" s="9" t="inlineStr">
        <is>
          <t>Exclusões para evitar sobreposição</t>
        </is>
      </c>
      <c r="C14" s="9" t="inlineStr">
        <is>
          <t>Confira se compradores/leads são excluídos da prospecção e se públicos não competem entre si.</t>
        </is>
      </c>
      <c r="D14" s="9" t="inlineStr">
        <is>
          <t>Exclusões aplicadas</t>
        </is>
      </c>
      <c r="E14" s="9" t="inlineStr">
        <is>
          <t>Adicione exclusões; consolide públicos sobrepostos.</t>
        </is>
      </c>
      <c r="F14" s="8" t="inlineStr">
        <is>
          <t>Importante</t>
        </is>
      </c>
      <c r="G14" s="8" t="inlineStr">
        <is>
          <t>Pendente</t>
        </is>
      </c>
      <c r="H14" s="9" t="inlineStr"/>
    </row>
    <row r="15">
      <c r="A15" s="6" t="inlineStr"/>
      <c r="B15" s="7" t="inlineStr">
        <is>
          <t>Sobreposição de públicos checada</t>
        </is>
      </c>
      <c r="C15" s="7" t="inlineStr">
        <is>
          <t>Use a ferramenta de sobreposição. Públicos muito sobrepostos elevam CPM por competição interna.</t>
        </is>
      </c>
      <c r="D15" s="7" t="inlineStr">
        <is>
          <t>Sobreposição &lt; 30% (validar)</t>
        </is>
      </c>
      <c r="E15" s="7" t="inlineStr">
        <is>
          <t>Una ou exclua públicos sobrepostos.</t>
        </is>
      </c>
      <c r="F15" s="6" t="inlineStr">
        <is>
          <t>Bom ter</t>
        </is>
      </c>
      <c r="G15" s="6" t="inlineStr">
        <is>
          <t>Pendente</t>
        </is>
      </c>
      <c r="H15" s="7" t="inlineStr"/>
    </row>
    <row r="16" ht="20" customHeight="1">
      <c r="A16" s="2" t="inlineStr">
        <is>
          <t>2.4 Criativos</t>
        </is>
      </c>
    </row>
    <row r="17">
      <c r="A17" s="8" t="inlineStr"/>
      <c r="B17" s="9" t="inlineStr">
        <is>
          <t>Variações de texto e título suficientes</t>
        </is>
      </c>
      <c r="C17" s="9" t="inlineStr">
        <is>
          <t>Conte textos primários e títulos por anúncio. Pouca variação limita a otimização do algoritmo.</t>
        </is>
      </c>
      <c r="D17" s="9" t="inlineStr">
        <is>
          <t>&gt;= 3 textos / 5 títulos</t>
        </is>
      </c>
      <c r="E17" s="9" t="inlineStr">
        <is>
          <t>Adicione variações; ou use Advantage+ Creative com cautela.</t>
        </is>
      </c>
      <c r="F17" s="8" t="inlineStr">
        <is>
          <t>Importante</t>
        </is>
      </c>
      <c r="G17" s="8" t="inlineStr">
        <is>
          <t>Pendente</t>
        </is>
      </c>
      <c r="H17" s="9" t="inlineStr"/>
    </row>
    <row r="18">
      <c r="A18" s="6" t="inlineStr"/>
      <c r="B18" s="7" t="inlineStr">
        <is>
          <t>Formatos por posicionamento</t>
        </is>
      </c>
      <c r="C18" s="7" t="inlineStr">
        <is>
          <t>Veja se há 9:16 para Reels/Stories e 1:1 ou 4:5 para Feed. Criativo esticado mata performance.</t>
        </is>
      </c>
      <c r="D18" s="7" t="inlineStr">
        <is>
          <t>Criativo nativo por formato</t>
        </is>
      </c>
      <c r="E18" s="7" t="inlineStr">
        <is>
          <t>Produza versões por formato; priorize vertical para mobile.</t>
        </is>
      </c>
      <c r="F18" s="6" t="inlineStr">
        <is>
          <t>Importante</t>
        </is>
      </c>
      <c r="G18" s="6" t="inlineStr">
        <is>
          <t>Pendente</t>
        </is>
      </c>
      <c r="H18" s="7" t="inlineStr"/>
    </row>
    <row r="19">
      <c r="A19" s="8" t="inlineStr"/>
      <c r="B19" s="9" t="inlineStr">
        <is>
          <t>UGC / criativos nativos testados</t>
        </is>
      </c>
      <c r="C19" s="9" t="inlineStr">
        <is>
          <t>Veja se há criativos no estilo orgânico/UGC, que costumam superar peças muito 'produzidas'.</t>
        </is>
      </c>
      <c r="D19" s="9" t="inlineStr">
        <is>
          <t>UGC em teste</t>
        </is>
      </c>
      <c r="E19" s="9" t="inlineStr">
        <is>
          <t>Produza UGC com creators; teste contra criativo de marca.</t>
        </is>
      </c>
      <c r="F19" s="8" t="inlineStr">
        <is>
          <t>Bom ter</t>
        </is>
      </c>
      <c r="G19" s="8" t="inlineStr">
        <is>
          <t>Pendente</t>
        </is>
      </c>
      <c r="H19" s="9" t="inlineStr"/>
    </row>
    <row r="20">
      <c r="A20" s="6" t="inlineStr"/>
      <c r="B20" s="7" t="inlineStr">
        <is>
          <t>Legendas em vídeo (sem som)</t>
        </is>
      </c>
      <c r="C20" s="7" t="inlineStr">
        <is>
          <t>Boa parte assiste mudo. Confirme legendas embutidas.</t>
        </is>
      </c>
      <c r="D20" s="7" t="inlineStr">
        <is>
          <t>Legenda em 100% dos vídeos</t>
        </is>
      </c>
      <c r="E20" s="7" t="inlineStr">
        <is>
          <t>Adicione legendas/captions nos vídeos.</t>
        </is>
      </c>
      <c r="F20" s="6" t="inlineStr">
        <is>
          <t>Bom ter</t>
        </is>
      </c>
      <c r="G20" s="6" t="inlineStr">
        <is>
          <t>Pendente</t>
        </is>
      </c>
      <c r="H20" s="7" t="inlineStr"/>
    </row>
    <row r="21" ht="20" customHeight="1">
      <c r="A21" s="2" t="inlineStr">
        <is>
          <t>2.5 Métricas Meta</t>
        </is>
      </c>
    </row>
    <row r="22">
      <c r="A22" s="8" t="inlineStr"/>
      <c r="B22" s="9" t="inlineStr">
        <is>
          <t>CTR (link) acima do aceitável</t>
        </is>
      </c>
      <c r="C22" s="9" t="inlineStr">
        <is>
          <t>Compare o CTR de link (não o CTR total) por anúncio.</t>
        </is>
      </c>
      <c r="D22" s="9" t="inlineStr">
        <is>
          <t>&gt; 1% (link)</t>
        </is>
      </c>
      <c r="E22" s="9" t="inlineStr">
        <is>
          <t>Troque criativo/hook; refine público.</t>
        </is>
      </c>
      <c r="F22" s="8" t="inlineStr">
        <is>
          <t>Importante</t>
        </is>
      </c>
      <c r="G22" s="8" t="inlineStr">
        <is>
          <t>Pendente</t>
        </is>
      </c>
      <c r="H22" s="9" t="inlineStr"/>
    </row>
    <row r="23">
      <c r="A23" s="6" t="inlineStr"/>
      <c r="B23" s="7" t="inlineStr">
        <is>
          <t>Rankings de qualidade e engajamento</t>
        </is>
      </c>
      <c r="C23" s="7" t="inlineStr">
        <is>
          <t>Veja os diagnósticos de qualidade/engajamento/conversão dos anúncios.</t>
        </is>
      </c>
      <c r="D23" s="7" t="inlineStr">
        <is>
          <t>Acima da média</t>
        </is>
      </c>
      <c r="E23" s="7" t="inlineStr">
        <is>
          <t>Pause peças abaixo da média; melhore criativo e relevância.</t>
        </is>
      </c>
      <c r="F23" s="6" t="inlineStr">
        <is>
          <t>Bom ter</t>
        </is>
      </c>
      <c r="G23" s="6" t="inlineStr">
        <is>
          <t>Pendente</t>
        </is>
      </c>
      <c r="H23" s="7" t="inlineStr"/>
    </row>
    <row r="24">
      <c r="A24" s="8" t="inlineStr"/>
      <c r="B24" s="9" t="inlineStr">
        <is>
          <t>Frequência em prospecção</t>
        </is>
      </c>
      <c r="C24" s="9" t="inlineStr">
        <is>
          <t>Cheque a frequência em campanhas de aquisição.</t>
        </is>
      </c>
      <c r="D24" s="9" t="inlineStr">
        <is>
          <t>&lt; 3</t>
        </is>
      </c>
      <c r="E24" s="9" t="inlineStr">
        <is>
          <t>Renove criativo; amplie público.</t>
        </is>
      </c>
      <c r="F24" s="8" t="inlineStr">
        <is>
          <t>Bom ter</t>
        </is>
      </c>
      <c r="G24" s="8" t="inlineStr">
        <is>
          <t>Pendente</t>
        </is>
      </c>
      <c r="H24" s="9" t="inlineStr"/>
    </row>
    <row r="25">
      <c r="A25" s="6" t="inlineStr"/>
      <c r="B25" s="7" t="inlineStr">
        <is>
          <t>CPM vs histórico</t>
        </is>
      </c>
      <c r="C25" s="7" t="inlineStr">
        <is>
          <t>Compare o CPM atual com o histórico da conta para detectar fadiga ou competição.</t>
        </is>
      </c>
      <c r="D25" s="7" t="inlineStr">
        <is>
          <t>Estável vs histórico</t>
        </is>
      </c>
      <c r="E25" s="7" t="inlineStr">
        <is>
          <t>Se subindo, renove criativo, revise públicos e sazonalidade.</t>
        </is>
      </c>
      <c r="F25" s="6" t="inlineStr">
        <is>
          <t>Bom ter</t>
        </is>
      </c>
      <c r="G25" s="6" t="inlineStr">
        <is>
          <t>Pendente</t>
        </is>
      </c>
      <c r="H25" s="7" t="inlineStr"/>
    </row>
  </sheetData>
  <mergeCells count="7">
    <mergeCell ref="A12:H12"/>
    <mergeCell ref="A4:H4"/>
    <mergeCell ref="A21:H21"/>
    <mergeCell ref="A2:H2"/>
    <mergeCell ref="A16:H16"/>
    <mergeCell ref="A1:H1"/>
    <mergeCell ref="A8:H8"/>
  </mergeCells>
  <conditionalFormatting sqref="G4:G25">
    <cfRule type="cellIs" priority="1" operator="equal" dxfId="0">
      <formula>"OK"</formula>
    </cfRule>
    <cfRule type="cellIs" priority="2" operator="equal" dxfId="1">
      <formula>"Ajustar"</formula>
    </cfRule>
    <cfRule type="cellIs" priority="3" operator="equal" dxfId="2">
      <formula>"Crítico"</formula>
    </cfRule>
    <cfRule type="cellIs" priority="4" operator="equal" dxfId="3">
      <formula>"N/A"</formula>
    </cfRule>
    <cfRule type="cellIs" priority="5" operator="equal" dxfId="4">
      <formula>"Pendente"</formula>
    </cfRule>
  </conditionalFormatting>
  <conditionalFormatting sqref="F4:F25">
    <cfRule type="cellIs" priority="6" operator="equal" dxfId="2">
      <formula>"Crítico"</formula>
    </cfRule>
    <cfRule type="cellIs" priority="7" operator="equal" dxfId="1">
      <formula>"Importante"</formula>
    </cfRule>
    <cfRule type="cellIs" priority="8" operator="equal" dxfId="3">
      <formula>"Bom ter"</formula>
    </cfRule>
  </conditionalFormatting>
  <conditionalFormatting sqref="A4:A25">
    <cfRule type="expression" priority="9" dxfId="0">
      <formula>A4="✓"</formula>
    </cfRule>
  </conditionalFormatting>
  <dataValidations count="2">
    <dataValidation sqref="G4:G25" showDropDown="0" showInputMessage="0" showErrorMessage="0" allowBlank="1" type="list">
      <formula1>_Listas!$A$1:$A$5</formula1>
    </dataValidation>
    <dataValidation sqref="A4:A25" showDropDown="0" showInputMessage="0" showErrorMessage="0" allowBlank="1" type="list">
      <formula1>_Listas!$B$1:$B$1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40" customWidth="1" min="2" max="2"/>
    <col width="58" customWidth="1" min="3" max="3"/>
    <col width="26" customWidth="1" min="4" max="4"/>
    <col width="50" customWidth="1" min="5" max="5"/>
    <col width="14" customWidth="1" min="6" max="6"/>
    <col width="14" customWidth="1" min="7" max="7"/>
    <col width="28" customWidth="1" min="8" max="8"/>
  </cols>
  <sheetData>
    <row r="1" ht="30" customHeight="1">
      <c r="A1" s="1" t="inlineStr">
        <is>
          <t>AUDITORIA DE CAMPANHAS — TRÁFEGO PAGO</t>
        </is>
      </c>
    </row>
    <row r="2" ht="18" customHeight="1">
      <c r="A2" s="2" t="inlineStr">
        <is>
          <t>V4 Company  ·  Google Ads</t>
        </is>
      </c>
    </row>
    <row r="3" ht="24" customHeight="1">
      <c r="A3" s="5" t="inlineStr">
        <is>
          <t>✓</t>
        </is>
      </c>
      <c r="B3" s="5" t="inlineStr">
        <is>
          <t>Item</t>
        </is>
      </c>
      <c r="C3" s="5" t="inlineStr">
        <is>
          <t>Como auditar (passo a passo + pontos de atenção)</t>
        </is>
      </c>
      <c r="D3" s="5" t="inlineStr">
        <is>
          <t>Benchmark / Referência 2026</t>
        </is>
      </c>
      <c r="E3" s="5" t="inlineStr">
        <is>
          <t>Como corrigir</t>
        </is>
      </c>
      <c r="F3" s="5" t="inlineStr">
        <is>
          <t>Criticidade</t>
        </is>
      </c>
      <c r="G3" s="5" t="inlineStr">
        <is>
          <t>Status</t>
        </is>
      </c>
      <c r="H3" s="5" t="inlineStr">
        <is>
          <t>Observações</t>
        </is>
      </c>
    </row>
    <row r="4" ht="20" customHeight="1">
      <c r="A4" s="2" t="inlineStr">
        <is>
          <t>3.1 Configuração e conversões</t>
        </is>
      </c>
    </row>
    <row r="5">
      <c r="A5" s="6" t="inlineStr"/>
      <c r="B5" s="7" t="inlineStr">
        <is>
          <t>Conversões configuradas e marcadas como primárias</t>
        </is>
      </c>
      <c r="C5" s="7" t="inlineStr">
        <is>
          <t>Em Metas/Conversões, confira a ação principal marcada como 'primária' e as secundárias separadas. Veja se há contagem duplicada.</t>
        </is>
      </c>
      <c r="D5" s="7" t="inlineStr">
        <is>
          <t>1 conversão primária clara</t>
        </is>
      </c>
      <c r="E5" s="7" t="inlineStr">
        <is>
          <t>Reclassifique conversões; remova duplicidades; use 'secundária' para sinais.</t>
        </is>
      </c>
      <c r="F5" s="6" t="inlineStr">
        <is>
          <t>Crítico</t>
        </is>
      </c>
      <c r="G5" s="6" t="inlineStr">
        <is>
          <t>Pendente</t>
        </is>
      </c>
      <c r="H5" s="7" t="inlineStr"/>
    </row>
    <row r="6">
      <c r="A6" s="8" t="inlineStr"/>
      <c r="B6" s="9" t="inlineStr">
        <is>
          <t>Enhanced Conversions ativo</t>
        </is>
      </c>
      <c r="C6" s="9" t="inlineStr">
        <is>
          <t>Confirme Enhanced Conversions for Leads/Web ativo e recebendo dados de 1ª parte.</t>
        </is>
      </c>
      <c r="D6" s="9" t="inlineStr">
        <is>
          <t>Ativo e validado</t>
        </is>
      </c>
      <c r="E6" s="9" t="inlineStr">
        <is>
          <t>Implemente via GTM/API; envie e-mail/telefone hasheados.</t>
        </is>
      </c>
      <c r="F6" s="8" t="inlineStr">
        <is>
          <t>Importante</t>
        </is>
      </c>
      <c r="G6" s="8" t="inlineStr">
        <is>
          <t>Pendente</t>
        </is>
      </c>
      <c r="H6" s="9" t="inlineStr"/>
    </row>
    <row r="7">
      <c r="A7" s="6" t="inlineStr"/>
      <c r="B7" s="7" t="inlineStr">
        <is>
          <t>Google Tag + GA4 vinculados</t>
        </is>
      </c>
      <c r="C7" s="7" t="inlineStr">
        <is>
          <t>Cheque a tag do Google disparando e o GA4 vinculado à conta de Ads.</t>
        </is>
      </c>
      <c r="D7" s="7" t="inlineStr">
        <is>
          <t>Vínculo ativo</t>
        </is>
      </c>
      <c r="E7" s="7" t="inlineStr">
        <is>
          <t>Vincule GA4 ao Ads; importe conversões do GA4 se fizer sentido.</t>
        </is>
      </c>
      <c r="F7" s="6" t="inlineStr">
        <is>
          <t>Importante</t>
        </is>
      </c>
      <c r="G7" s="6" t="inlineStr">
        <is>
          <t>Pendente</t>
        </is>
      </c>
      <c r="H7" s="7" t="inlineStr"/>
    </row>
    <row r="8" ht="20" customHeight="1">
      <c r="A8" s="2" t="inlineStr">
        <is>
          <t>3.2 Tipos de campanha e estrutura</t>
        </is>
      </c>
    </row>
    <row r="9">
      <c r="A9" s="8" t="inlineStr"/>
      <c r="B9" s="9" t="inlineStr">
        <is>
          <t>Tipo de campanha coerente com o objetivo</t>
        </is>
      </c>
      <c r="C9" s="9" t="inlineStr">
        <is>
          <t>Veja se Search, Performance Max e Demand Gen estão sendo usados conforme intenção (fundo vs topo).</t>
        </is>
      </c>
      <c r="D9" s="9" t="inlineStr">
        <is>
          <t>Tipo certo por objetivo</t>
        </is>
      </c>
      <c r="E9" s="9" t="inlineStr">
        <is>
          <t>Ajuste o mix; não dependa só de PMax sem Search de marca/intenção.</t>
        </is>
      </c>
      <c r="F9" s="8" t="inlineStr">
        <is>
          <t>Importante</t>
        </is>
      </c>
      <c r="G9" s="8" t="inlineStr">
        <is>
          <t>Pendente</t>
        </is>
      </c>
      <c r="H9" s="9" t="inlineStr"/>
    </row>
    <row r="10">
      <c r="A10" s="6" t="inlineStr"/>
      <c r="B10" s="7" t="inlineStr">
        <is>
          <t>Estrutura por tema/intenção</t>
        </is>
      </c>
      <c r="C10" s="7" t="inlineStr">
        <is>
          <t>Confira agrupamento lógico de campanhas/grupos por tema, evitando sobreposição de palavras.</t>
        </is>
      </c>
      <c r="D10" s="7" t="inlineStr">
        <is>
          <t>Grupos coesos</t>
        </is>
      </c>
      <c r="E10" s="7" t="inlineStr">
        <is>
          <t>Reestruture por tema; separe marca de genérico.</t>
        </is>
      </c>
      <c r="F10" s="6" t="inlineStr">
        <is>
          <t>Importante</t>
        </is>
      </c>
      <c r="G10" s="6" t="inlineStr">
        <is>
          <t>Pendente</t>
        </is>
      </c>
      <c r="H10" s="7" t="inlineStr"/>
    </row>
    <row r="11">
      <c r="A11" s="8" t="inlineStr"/>
      <c r="B11" s="9" t="inlineStr">
        <is>
          <t>PMax com feed e sinais de público</t>
        </is>
      </c>
      <c r="C11" s="9" t="inlineStr">
        <is>
          <t>Se usa PMax, veja se há grupos de recursos completos, feed e sinais de público para guiar o algoritmo.</t>
        </is>
      </c>
      <c r="D11" s="9" t="inlineStr">
        <is>
          <t>Assets + sinais completos</t>
        </is>
      </c>
      <c r="E11" s="9" t="inlineStr">
        <is>
          <t>Enriqueça assets, feed e sinais; adicione exclusões de marca.</t>
        </is>
      </c>
      <c r="F11" s="8" t="inlineStr">
        <is>
          <t>Importante</t>
        </is>
      </c>
      <c r="G11" s="8" t="inlineStr">
        <is>
          <t>Pendente</t>
        </is>
      </c>
      <c r="H11" s="9" t="inlineStr"/>
    </row>
    <row r="12" ht="20" customHeight="1">
      <c r="A12" s="2" t="inlineStr">
        <is>
          <t>3.3 Palavras-chave e termos</t>
        </is>
      </c>
    </row>
    <row r="13">
      <c r="A13" s="6" t="inlineStr"/>
      <c r="B13" s="7" t="inlineStr">
        <is>
          <t>Correspondências adequadas</t>
        </is>
      </c>
      <c r="C13" s="7" t="inlineStr">
        <is>
          <t>Veja o uso de exata/frase/ampla. Ampla sem Smart Bidding e sem negativas queima verba.</t>
        </is>
      </c>
      <c r="D13" s="7" t="inlineStr">
        <is>
          <t>Ampla só com Smart Bidding + negativas</t>
        </is>
      </c>
      <c r="E13" s="7" t="inlineStr">
        <is>
          <t>Ajuste correspondências; combine ampla com lances automáticos e negativas fortes.</t>
        </is>
      </c>
      <c r="F13" s="6" t="inlineStr">
        <is>
          <t>Importante</t>
        </is>
      </c>
      <c r="G13" s="6" t="inlineStr">
        <is>
          <t>Pendente</t>
        </is>
      </c>
      <c r="H13" s="7" t="inlineStr"/>
    </row>
    <row r="14">
      <c r="A14" s="8" t="inlineStr"/>
      <c r="B14" s="9" t="inlineStr">
        <is>
          <t>Lista de negativas robusta e revisada</t>
        </is>
      </c>
      <c r="C14" s="9" t="inlineStr">
        <is>
          <t>Confira listas de palavras negativas aplicadas e atualizadas.</t>
        </is>
      </c>
      <c r="D14" s="9" t="inlineStr">
        <is>
          <t>Listas ativas e atualizadas</t>
        </is>
      </c>
      <c r="E14" s="9" t="inlineStr">
        <is>
          <t>Crie/atualize negativas; aplique listas compartilhadas.</t>
        </is>
      </c>
      <c r="F14" s="8" t="inlineStr">
        <is>
          <t>Crítico</t>
        </is>
      </c>
      <c r="G14" s="8" t="inlineStr">
        <is>
          <t>Pendente</t>
        </is>
      </c>
      <c r="H14" s="9" t="inlineStr"/>
    </row>
    <row r="15">
      <c r="A15" s="6" t="inlineStr"/>
      <c r="B15" s="7" t="inlineStr">
        <is>
          <t>Termos de pesquisa auditados</t>
        </is>
      </c>
      <c r="C15" s="7" t="inlineStr">
        <is>
          <t>Abra o relatório de termos de pesquisa e veja se há gasto em termos irrelevantes.</t>
        </is>
      </c>
      <c r="D15" s="7" t="inlineStr">
        <is>
          <t>Revisão periódica</t>
        </is>
      </c>
      <c r="E15" s="7" t="inlineStr">
        <is>
          <t>Adicione termos ruins como negativos; capture bons termos como keywords.</t>
        </is>
      </c>
      <c r="F15" s="6" t="inlineStr">
        <is>
          <t>Importante</t>
        </is>
      </c>
      <c r="G15" s="6" t="inlineStr">
        <is>
          <t>Pendente</t>
        </is>
      </c>
      <c r="H15" s="7" t="inlineStr"/>
    </row>
    <row r="16" ht="20" customHeight="1">
      <c r="A16" s="2" t="inlineStr">
        <is>
          <t>3.4 Qualidade e anúncios</t>
        </is>
      </c>
    </row>
    <row r="17">
      <c r="A17" s="8" t="inlineStr"/>
      <c r="B17" s="9" t="inlineStr">
        <is>
          <t>Quality Score / Ad Strength</t>
        </is>
      </c>
      <c r="C17" s="9" t="inlineStr">
        <is>
          <t>Veja o índice de qualidade das keywords e o Ad Strength dos RSAs.</t>
        </is>
      </c>
      <c r="D17" s="9" t="inlineStr">
        <is>
          <t>QS &gt;= 7 · Ad Strength Boa/Excelente</t>
        </is>
      </c>
      <c r="E17" s="9" t="inlineStr">
        <is>
          <t>Melhore relevância anúncio-keyword-LP; reescreva RSAs.</t>
        </is>
      </c>
      <c r="F17" s="8" t="inlineStr">
        <is>
          <t>Importante</t>
        </is>
      </c>
      <c r="G17" s="8" t="inlineStr">
        <is>
          <t>Pendente</t>
        </is>
      </c>
      <c r="H17" s="9" t="inlineStr"/>
    </row>
    <row r="18">
      <c r="A18" s="6" t="inlineStr"/>
      <c r="B18" s="7" t="inlineStr">
        <is>
          <t>RSAs completos</t>
        </is>
      </c>
      <c r="C18" s="7" t="inlineStr">
        <is>
          <t>Confira nº de títulos/descrições e pinagem coerente nos anúncios responsivos.</t>
        </is>
      </c>
      <c r="D18" s="7" t="inlineStr">
        <is>
          <t>15 títulos / 4 descrições (ideal)</t>
        </is>
      </c>
      <c r="E18" s="7" t="inlineStr">
        <is>
          <t>Complete os ativos; teste pinagem da marca/oferta.</t>
        </is>
      </c>
      <c r="F18" s="6" t="inlineStr">
        <is>
          <t>Importante</t>
        </is>
      </c>
      <c r="G18" s="6" t="inlineStr">
        <is>
          <t>Pendente</t>
        </is>
      </c>
      <c r="H18" s="7" t="inlineStr"/>
    </row>
    <row r="19">
      <c r="A19" s="8" t="inlineStr"/>
      <c r="B19" s="9" t="inlineStr">
        <is>
          <t>Extensões/assets ativos</t>
        </is>
      </c>
      <c r="C19" s="9" t="inlineStr">
        <is>
          <t>Cheque sitelinks, callouts, snippets, chamada, imagem e localização.</t>
        </is>
      </c>
      <c r="D19" s="9" t="inlineStr">
        <is>
          <t>&gt;= 4 tipos de asset</t>
        </is>
      </c>
      <c r="E19" s="9" t="inlineStr">
        <is>
          <t>Adicione os assets faltantes; mantenha relevância.</t>
        </is>
      </c>
      <c r="F19" s="8" t="inlineStr">
        <is>
          <t>Bom ter</t>
        </is>
      </c>
      <c r="G19" s="8" t="inlineStr">
        <is>
          <t>Pendente</t>
        </is>
      </c>
      <c r="H19" s="9" t="inlineStr"/>
    </row>
    <row r="20" ht="20" customHeight="1">
      <c r="A20" s="2" t="inlineStr">
        <is>
          <t>3.5 Lances e métricas</t>
        </is>
      </c>
    </row>
    <row r="21">
      <c r="A21" s="6" t="inlineStr"/>
      <c r="B21" s="7" t="inlineStr">
        <is>
          <t>Estratégia de lance coerente</t>
        </is>
      </c>
      <c r="C21" s="7" t="inlineStr">
        <is>
          <t>Veja a estratégia (Maximizar conversões, tCPA, tROAS) e se há dados suficientes para ela funcionar.</t>
        </is>
      </c>
      <c r="D21" s="7" t="inlineStr">
        <is>
          <t>Estratégia compatível com volume</t>
        </is>
      </c>
      <c r="E21" s="7" t="inlineStr">
        <is>
          <t>Comece em Maximizar conversões; migre a tCPA/tROAS com histórico.</t>
        </is>
      </c>
      <c r="F21" s="6" t="inlineStr">
        <is>
          <t>Importante</t>
        </is>
      </c>
      <c r="G21" s="6" t="inlineStr">
        <is>
          <t>Pendente</t>
        </is>
      </c>
      <c r="H21" s="7" t="inlineStr"/>
    </row>
    <row r="22">
      <c r="A22" s="8" t="inlineStr"/>
      <c r="B22" s="9" t="inlineStr">
        <is>
          <t>CTR de Search saudável</t>
        </is>
      </c>
      <c r="C22" s="9" t="inlineStr">
        <is>
          <t>Compare o CTR das campanhas de Search.</t>
        </is>
      </c>
      <c r="D22" s="9" t="inlineStr">
        <is>
          <t>&gt; 2-3%</t>
        </is>
      </c>
      <c r="E22" s="9" t="inlineStr">
        <is>
          <t>Melhore anúncio e relevância; revise keywords.</t>
        </is>
      </c>
      <c r="F22" s="8" t="inlineStr">
        <is>
          <t>Bom ter</t>
        </is>
      </c>
      <c r="G22" s="8" t="inlineStr">
        <is>
          <t>Pendente</t>
        </is>
      </c>
      <c r="H22" s="9" t="inlineStr"/>
    </row>
    <row r="23">
      <c r="A23" s="6" t="inlineStr"/>
      <c r="B23" s="7" t="inlineStr">
        <is>
          <t>CPC vs benchmark do nicho</t>
        </is>
      </c>
      <c r="C23" s="7" t="inlineStr">
        <is>
          <t>Compare o CPC médio com a referência do nicho/região.</t>
        </is>
      </c>
      <c r="D23" s="7" t="inlineStr">
        <is>
          <t>Dentro do benchmark do nicho (validar)</t>
        </is>
      </c>
      <c r="E23" s="7" t="inlineStr">
        <is>
          <t>Refine keywords/qualidade; negative termos caros e irrelevantes.</t>
        </is>
      </c>
      <c r="F23" s="6" t="inlineStr">
        <is>
          <t>Bom ter</t>
        </is>
      </c>
      <c r="G23" s="6" t="inlineStr">
        <is>
          <t>Pendente</t>
        </is>
      </c>
      <c r="H23" s="7" t="inlineStr"/>
    </row>
    <row r="24">
      <c r="A24" s="8" t="inlineStr"/>
      <c r="B24" s="9" t="inlineStr">
        <is>
          <t>Parcela de impressão e entrega</t>
        </is>
      </c>
      <c r="C24" s="9" t="inlineStr">
        <is>
          <t>Veja a parcela de impressão e o quanto se perde por orçamento e por ranking. Baixa entrega costuma ser orçamento, lance, qualidade ou público pequeno.</t>
        </is>
      </c>
      <c r="D24" s="9" t="inlineStr">
        <is>
          <t>Perda por orçamento baixa nas campanhas-chave</t>
        </is>
      </c>
      <c r="E24" s="9" t="inlineStr">
        <is>
          <t>Aumente verba onde perde por orçamento e melhore qualidade onde perde por ranking; se o objetivo permitir, amplie alcance (rede de Display/parceiros de pesquisa) com acompanhamento.</t>
        </is>
      </c>
      <c r="F24" s="8" t="inlineStr">
        <is>
          <t>Importante</t>
        </is>
      </c>
      <c r="G24" s="8" t="inlineStr">
        <is>
          <t>Pendente</t>
        </is>
      </c>
      <c r="H24" s="9" t="inlineStr"/>
    </row>
    <row r="25">
      <c r="A25" s="6" t="inlineStr"/>
      <c r="B25" s="7" t="inlineStr">
        <is>
          <t>Programação por horários (ad scheduling)</t>
        </is>
      </c>
      <c r="C25" s="7" t="inlineStr">
        <is>
          <t>Em Configurações &gt; Programação de anúncios, veja se a campanha roda nos dias/horários de maior conversão. Cruze com o relatório de desempenho por hora e por dia da semana.</t>
        </is>
      </c>
      <c r="D25" s="7" t="inlineStr">
        <is>
          <t>Anúncios ativos nos horários de maior conversão</t>
        </is>
      </c>
      <c r="E25" s="7" t="inlineStr">
        <is>
          <t>Configure a programação para concentrar entrega nos melhores horários/dias; aplique ajuste de lance maior nesses períodos e menor nos de baixa performance.</t>
        </is>
      </c>
      <c r="F25" s="6" t="inlineStr">
        <is>
          <t>Bom ter</t>
        </is>
      </c>
      <c r="G25" s="6" t="inlineStr">
        <is>
          <t>Pendente</t>
        </is>
      </c>
      <c r="H25" s="7" t="inlineStr"/>
    </row>
    <row r="26">
      <c r="A26" s="8" t="inlineStr"/>
      <c r="B26" s="9" t="inlineStr">
        <is>
          <t>Recomendações e Optimization Score revisados</t>
        </is>
      </c>
      <c r="C26" s="9" t="inlineStr">
        <is>
          <t>Abra a aba Recomendações e veja o Optimization Score da conta. Avalie cada recomendação uma a uma: aplicar tudo sem critério infla gasto e amplia rede; ignorar tudo deixa otimização na mesa.</t>
        </is>
      </c>
      <c r="D26" s="9" t="inlineStr">
        <is>
          <t>Optimization Score &gt; 80% (validar por conta)</t>
        </is>
      </c>
      <c r="E26" s="9" t="inlineStr">
        <is>
          <t>Aplique as recomendações que fazem sentido (negativas, lances, ativos de RSA) e rejeite as que só ampliam verba/rede. Registre o porquê de cada rejeição.</t>
        </is>
      </c>
      <c r="F26" s="8" t="inlineStr">
        <is>
          <t>Importante</t>
        </is>
      </c>
      <c r="G26" s="8" t="inlineStr">
        <is>
          <t>Pendente</t>
        </is>
      </c>
      <c r="H26" s="9" t="inlineStr"/>
    </row>
  </sheetData>
  <mergeCells count="7">
    <mergeCell ref="A12:H12"/>
    <mergeCell ref="A4:H4"/>
    <mergeCell ref="A20:H20"/>
    <mergeCell ref="A2:H2"/>
    <mergeCell ref="A16:H16"/>
    <mergeCell ref="A1:H1"/>
    <mergeCell ref="A8:H8"/>
  </mergeCells>
  <conditionalFormatting sqref="G4:G26">
    <cfRule type="cellIs" priority="1" operator="equal" dxfId="0">
      <formula>"OK"</formula>
    </cfRule>
    <cfRule type="cellIs" priority="2" operator="equal" dxfId="1">
      <formula>"Ajustar"</formula>
    </cfRule>
    <cfRule type="cellIs" priority="3" operator="equal" dxfId="2">
      <formula>"Crítico"</formula>
    </cfRule>
    <cfRule type="cellIs" priority="4" operator="equal" dxfId="3">
      <formula>"N/A"</formula>
    </cfRule>
    <cfRule type="cellIs" priority="5" operator="equal" dxfId="4">
      <formula>"Pendente"</formula>
    </cfRule>
  </conditionalFormatting>
  <conditionalFormatting sqref="F4:F26">
    <cfRule type="cellIs" priority="6" operator="equal" dxfId="2">
      <formula>"Crítico"</formula>
    </cfRule>
    <cfRule type="cellIs" priority="7" operator="equal" dxfId="1">
      <formula>"Importante"</formula>
    </cfRule>
    <cfRule type="cellIs" priority="8" operator="equal" dxfId="3">
      <formula>"Bom ter"</formula>
    </cfRule>
  </conditionalFormatting>
  <conditionalFormatting sqref="A4:A26">
    <cfRule type="expression" priority="9" dxfId="0">
      <formula>A4="✓"</formula>
    </cfRule>
  </conditionalFormatting>
  <dataValidations count="2">
    <dataValidation sqref="G4:G26" showDropDown="0" showInputMessage="0" showErrorMessage="0" allowBlank="1" type="list">
      <formula1>_Listas!$A$1:$A$5</formula1>
    </dataValidation>
    <dataValidation sqref="A4:A26" showDropDown="0" showInputMessage="0" showErrorMessage="0" allowBlank="1" type="list">
      <formula1>_Listas!$B$1:$B$1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40" customWidth="1" min="2" max="2"/>
    <col width="58" customWidth="1" min="3" max="3"/>
    <col width="26" customWidth="1" min="4" max="4"/>
    <col width="50" customWidth="1" min="5" max="5"/>
    <col width="14" customWidth="1" min="6" max="6"/>
    <col width="14" customWidth="1" min="7" max="7"/>
    <col width="28" customWidth="1" min="8" max="8"/>
  </cols>
  <sheetData>
    <row r="1" ht="30" customHeight="1">
      <c r="A1" s="1" t="inlineStr">
        <is>
          <t>AUDITORIA DE CAMPANHAS — TRÁFEGO PAGO</t>
        </is>
      </c>
    </row>
    <row r="2" ht="18" customHeight="1">
      <c r="A2" s="2" t="inlineStr">
        <is>
          <t>V4 Company  ·  LinkedIn Ads</t>
        </is>
      </c>
    </row>
    <row r="3" ht="24" customHeight="1">
      <c r="A3" s="5" t="inlineStr">
        <is>
          <t>✓</t>
        </is>
      </c>
      <c r="B3" s="5" t="inlineStr">
        <is>
          <t>Item</t>
        </is>
      </c>
      <c r="C3" s="5" t="inlineStr">
        <is>
          <t>Como auditar (passo a passo + pontos de atenção)</t>
        </is>
      </c>
      <c r="D3" s="5" t="inlineStr">
        <is>
          <t>Benchmark / Referência 2026</t>
        </is>
      </c>
      <c r="E3" s="5" t="inlineStr">
        <is>
          <t>Como corrigir</t>
        </is>
      </c>
      <c r="F3" s="5" t="inlineStr">
        <is>
          <t>Criticidade</t>
        </is>
      </c>
      <c r="G3" s="5" t="inlineStr">
        <is>
          <t>Status</t>
        </is>
      </c>
      <c r="H3" s="5" t="inlineStr">
        <is>
          <t>Observações</t>
        </is>
      </c>
    </row>
    <row r="4" ht="20" customHeight="1">
      <c r="A4" s="2" t="inlineStr">
        <is>
          <t>4.1 Configuração</t>
        </is>
      </c>
    </row>
    <row r="5">
      <c r="A5" s="6" t="inlineStr"/>
      <c r="B5" s="7" t="inlineStr">
        <is>
          <t>Insight Tag instalada e validada</t>
        </is>
      </c>
      <c r="C5" s="7" t="inlineStr">
        <is>
          <t>Confira a Insight Tag no site e se está recebendo dados (públicos de site, conversões).</t>
        </is>
      </c>
      <c r="D5" s="7" t="inlineStr">
        <is>
          <t>Tag ativa recebendo dados</t>
        </is>
      </c>
      <c r="E5" s="7" t="inlineStr">
        <is>
          <t>Instale via GTM; valide no Campaign Manager.</t>
        </is>
      </c>
      <c r="F5" s="6" t="inlineStr">
        <is>
          <t>Crítico</t>
        </is>
      </c>
      <c r="G5" s="6" t="inlineStr">
        <is>
          <t>Pendente</t>
        </is>
      </c>
      <c r="H5" s="7" t="inlineStr"/>
    </row>
    <row r="6">
      <c r="A6" s="8" t="inlineStr"/>
      <c r="B6" s="9" t="inlineStr">
        <is>
          <t>Conversões configuradas</t>
        </is>
      </c>
      <c r="C6" s="9" t="inlineStr">
        <is>
          <t>Veja se conversões de lead/site estão configuradas e atribuídas às campanhas.</t>
        </is>
      </c>
      <c r="D6" s="9" t="inlineStr">
        <is>
          <t>Conversão principal ativa</t>
        </is>
      </c>
      <c r="E6" s="9" t="inlineStr">
        <is>
          <t>Configure conversões; defina janela de atribuição.</t>
        </is>
      </c>
      <c r="F6" s="8" t="inlineStr">
        <is>
          <t>Importante</t>
        </is>
      </c>
      <c r="G6" s="8" t="inlineStr">
        <is>
          <t>Pendente</t>
        </is>
      </c>
      <c r="H6" s="9" t="inlineStr"/>
    </row>
    <row r="7">
      <c r="A7" s="6" t="inlineStr"/>
      <c r="B7" s="7" t="inlineStr">
        <is>
          <t>CAPI / Conversões via API (se disponível)</t>
        </is>
      </c>
      <c r="C7" s="7" t="inlineStr">
        <is>
          <t>Cheque envio server-side de conversões para melhorar a mensuração.</t>
        </is>
      </c>
      <c r="D7" s="7" t="inlineStr">
        <is>
          <t>Ativo (quando aplicável)</t>
        </is>
      </c>
      <c r="E7" s="7" t="inlineStr">
        <is>
          <t>Implemente Conversions API do LinkedIn se a stack permitir.</t>
        </is>
      </c>
      <c r="F7" s="6" t="inlineStr">
        <is>
          <t>Bom ter</t>
        </is>
      </c>
      <c r="G7" s="6" t="inlineStr">
        <is>
          <t>Pendente</t>
        </is>
      </c>
      <c r="H7" s="7" t="inlineStr"/>
    </row>
    <row r="8" ht="20" customHeight="1">
      <c r="A8" s="2" t="inlineStr">
        <is>
          <t>4.2 Segmentação B2B</t>
        </is>
      </c>
    </row>
    <row r="9">
      <c r="A9" s="8" t="inlineStr"/>
      <c r="B9" s="9" t="inlineStr">
        <is>
          <t>Segmentação por cargo/empresa/setor</t>
        </is>
      </c>
      <c r="C9" s="9" t="inlineStr">
        <is>
          <t>Confira se o público usa critérios B2B (cargo, senioridade, setor, tamanho da empresa) coerentes com o ICP.</t>
        </is>
      </c>
      <c r="D9" s="9" t="inlineStr">
        <is>
          <t>Segmentação aderente ao ICP</t>
        </is>
      </c>
      <c r="E9" s="9" t="inlineStr">
        <is>
          <t>Refine por função + senioridade + setor; evite só 'interesses'.</t>
        </is>
      </c>
      <c r="F9" s="8" t="inlineStr">
        <is>
          <t>Importante</t>
        </is>
      </c>
      <c r="G9" s="8" t="inlineStr">
        <is>
          <t>Pendente</t>
        </is>
      </c>
      <c r="H9" s="9" t="inlineStr"/>
    </row>
    <row r="10">
      <c r="A10" s="6" t="inlineStr"/>
      <c r="B10" s="7" t="inlineStr">
        <is>
          <t>Audience Expansion / Audience Network conscientes</t>
        </is>
      </c>
      <c r="C10" s="7" t="inlineStr">
        <is>
          <t>Veja se Audience Expansion e LinkedIn Audience Network estão ligados e se isso é desejado (podem diluir qualidade).</t>
        </is>
      </c>
      <c r="D10" s="7" t="inlineStr">
        <is>
          <t>Decisão consciente (geralmente off no topo)</t>
        </is>
      </c>
      <c r="E10" s="7" t="inlineStr">
        <is>
          <t>Desligue Audience Network/Expansion para públicos premium; teste separado.</t>
        </is>
      </c>
      <c r="F10" s="6" t="inlineStr">
        <is>
          <t>Importante</t>
        </is>
      </c>
      <c r="G10" s="6" t="inlineStr">
        <is>
          <t>Pendente</t>
        </is>
      </c>
      <c r="H10" s="7" t="inlineStr"/>
    </row>
    <row r="11">
      <c r="A11" s="8" t="inlineStr"/>
      <c r="B11" s="9" t="inlineStr">
        <is>
          <t>Tamanho de público adequado</t>
        </is>
      </c>
      <c r="C11" s="9" t="inlineStr">
        <is>
          <t>Cheque o tamanho estimado do público. Muito pequeno encarece e limita entrega.</t>
        </is>
      </c>
      <c r="D11" s="9" t="inlineStr">
        <is>
          <t>&gt; 50.000 (recomendado)</t>
        </is>
      </c>
      <c r="E11" s="9" t="inlineStr">
        <is>
          <t>Amplie critérios mantendo o ICP; combine atributos.</t>
        </is>
      </c>
      <c r="F11" s="8" t="inlineStr">
        <is>
          <t>Bom ter</t>
        </is>
      </c>
      <c r="G11" s="8" t="inlineStr">
        <is>
          <t>Pendente</t>
        </is>
      </c>
      <c r="H11" s="9" t="inlineStr"/>
    </row>
    <row r="12">
      <c r="A12" s="6" t="inlineStr"/>
      <c r="B12" s="7" t="inlineStr">
        <is>
          <t>Exclusões (clientes, concorrentes, próprios)</t>
        </is>
      </c>
      <c r="C12" s="7" t="inlineStr">
        <is>
          <t>Confira exclusão de quem já é cliente, concorrentes e colaboradores.</t>
        </is>
      </c>
      <c r="D12" s="7" t="inlineStr">
        <is>
          <t>Exclusões aplicadas</t>
        </is>
      </c>
      <c r="E12" s="7" t="inlineStr">
        <is>
          <t>Suba listas de exclusão; exclua a própria empresa.</t>
        </is>
      </c>
      <c r="F12" s="6" t="inlineStr">
        <is>
          <t>Bom ter</t>
        </is>
      </c>
      <c r="G12" s="6" t="inlineStr">
        <is>
          <t>Pendente</t>
        </is>
      </c>
      <c r="H12" s="7" t="inlineStr"/>
    </row>
    <row r="13" ht="20" customHeight="1">
      <c r="A13" s="2" t="inlineStr">
        <is>
          <t>4.3 Formatos e oferta</t>
        </is>
      </c>
    </row>
    <row r="14">
      <c r="A14" s="8" t="inlineStr"/>
      <c r="B14" s="9" t="inlineStr">
        <is>
          <t>Lead Gen Forms vs LP</t>
        </is>
      </c>
      <c r="C14" s="9" t="inlineStr">
        <is>
          <t>Veja se usa Lead Gen Forms (menor fricção, preenchimento automático) quando o objetivo é lead.</t>
        </is>
      </c>
      <c r="D14" s="9" t="inlineStr">
        <is>
          <t>LGF para volume de lead</t>
        </is>
      </c>
      <c r="E14" s="9" t="inlineStr">
        <is>
          <t>Teste Lead Gen Forms contra LP; compare CPL e qualidade.</t>
        </is>
      </c>
      <c r="F14" s="8" t="inlineStr">
        <is>
          <t>Importante</t>
        </is>
      </c>
      <c r="G14" s="8" t="inlineStr">
        <is>
          <t>Pendente</t>
        </is>
      </c>
      <c r="H14" s="9" t="inlineStr"/>
    </row>
    <row r="15">
      <c r="A15" s="6" t="inlineStr"/>
      <c r="B15" s="7" t="inlineStr">
        <is>
          <t>Formato adequado ao objetivo</t>
        </is>
      </c>
      <c r="C15" s="7" t="inlineStr">
        <is>
          <t>Confira o formato (Single Image, Document Ad, Video, Conversation/Message) frente ao objetivo.</t>
        </is>
      </c>
      <c r="D15" s="7" t="inlineStr">
        <is>
          <t>Formato por etapa</t>
        </is>
      </c>
      <c r="E15" s="7" t="inlineStr">
        <is>
          <t>Use Document Ads para material rico; vídeo para topo; conversa para nutrição.</t>
        </is>
      </c>
      <c r="F15" s="6" t="inlineStr">
        <is>
          <t>Bom ter</t>
        </is>
      </c>
      <c r="G15" s="6" t="inlineStr">
        <is>
          <t>Pendente</t>
        </is>
      </c>
      <c r="H15" s="7" t="inlineStr"/>
    </row>
    <row r="16">
      <c r="A16" s="8" t="inlineStr"/>
      <c r="B16" s="9" t="inlineStr">
        <is>
          <t>Oferta compatível com topo B2B</t>
        </is>
      </c>
      <c r="C16" s="9" t="inlineStr">
        <is>
          <t>B2B raramente compra direto. Veja se a oferta é de valor (material, diagnóstico) e não venda imediata.</t>
        </is>
      </c>
      <c r="D16" s="9" t="inlineStr">
        <is>
          <t>Oferta de topo/educacional</t>
        </is>
      </c>
      <c r="E16" s="9" t="inlineStr">
        <is>
          <t>Troque venda direta por isca de valor; nutra antes de ofertar.</t>
        </is>
      </c>
      <c r="F16" s="8" t="inlineStr">
        <is>
          <t>Importante</t>
        </is>
      </c>
      <c r="G16" s="8" t="inlineStr">
        <is>
          <t>Pendente</t>
        </is>
      </c>
      <c r="H16" s="9" t="inlineStr"/>
    </row>
    <row r="17" ht="20" customHeight="1">
      <c r="A17" s="2" t="inlineStr">
        <is>
          <t>4.4 Métricas LinkedIn</t>
        </is>
      </c>
    </row>
    <row r="18">
      <c r="A18" s="6" t="inlineStr"/>
      <c r="B18" s="7" t="inlineStr">
        <is>
          <t>CTR dentro do benchmark B2B</t>
        </is>
      </c>
      <c r="C18" s="7" t="inlineStr">
        <is>
          <t>Compare o CTR; no LinkedIn ele é naturalmente mais baixo que em redes B2C.</t>
        </is>
      </c>
      <c r="D18" s="7" t="inlineStr">
        <is>
          <t>&gt; 0,4-0,5% (validar por formato)</t>
        </is>
      </c>
      <c r="E18" s="7" t="inlineStr">
        <is>
          <t>Melhore criativo e copy; refine público.</t>
        </is>
      </c>
      <c r="F18" s="6" t="inlineStr">
        <is>
          <t>Bom ter</t>
        </is>
      </c>
      <c r="G18" s="6" t="inlineStr">
        <is>
          <t>Pendente</t>
        </is>
      </c>
      <c r="H18" s="7" t="inlineStr"/>
    </row>
    <row r="19">
      <c r="A19" s="8" t="inlineStr"/>
      <c r="B19" s="9" t="inlineStr">
        <is>
          <t>CPL avaliado por qualidade (SQL), não só volume</t>
        </is>
      </c>
      <c r="C19" s="9" t="inlineStr">
        <is>
          <t>CPL alto é normal. Avalie a conversão lead -&gt; reunião -&gt; oportunidade.</t>
        </is>
      </c>
      <c r="D19" s="9" t="inlineStr">
        <is>
          <t>Avaliar por SQL/oportunidade</t>
        </is>
      </c>
      <c r="E19" s="9" t="inlineStr">
        <is>
          <t>Integre com CRM; otimize por qualidade, não por CPL bruto.</t>
        </is>
      </c>
      <c r="F19" s="8" t="inlineStr">
        <is>
          <t>Importante</t>
        </is>
      </c>
      <c r="G19" s="8" t="inlineStr">
        <is>
          <t>Pendente</t>
        </is>
      </c>
      <c r="H19" s="9" t="inlineStr"/>
    </row>
    <row r="20">
      <c r="A20" s="6" t="inlineStr"/>
      <c r="B20" s="7" t="inlineStr">
        <is>
          <t>CPC/CPM e fadiga</t>
        </is>
      </c>
      <c r="C20" s="7" t="inlineStr">
        <is>
          <t>Monitore CPC/CPM (altos no LinkedIn) e a frequência para detectar fadiga.</t>
        </is>
      </c>
      <c r="D20" s="7" t="inlineStr">
        <is>
          <t>Estável; frequência controlada</t>
        </is>
      </c>
      <c r="E20" s="7" t="inlineStr">
        <is>
          <t>Renove criativo; alterne formatos; pause peças cansadas.</t>
        </is>
      </c>
      <c r="F20" s="6" t="inlineStr">
        <is>
          <t>Bom ter</t>
        </is>
      </c>
      <c r="G20" s="6" t="inlineStr">
        <is>
          <t>Pendente</t>
        </is>
      </c>
      <c r="H20" s="7" t="inlineStr"/>
    </row>
  </sheetData>
  <mergeCells count="6">
    <mergeCell ref="A4:H4"/>
    <mergeCell ref="A2:H2"/>
    <mergeCell ref="A13:H13"/>
    <mergeCell ref="A1:H1"/>
    <mergeCell ref="A8:H8"/>
    <mergeCell ref="A17:H17"/>
  </mergeCells>
  <conditionalFormatting sqref="G4:G20">
    <cfRule type="cellIs" priority="1" operator="equal" dxfId="0">
      <formula>"OK"</formula>
    </cfRule>
    <cfRule type="cellIs" priority="2" operator="equal" dxfId="1">
      <formula>"Ajustar"</formula>
    </cfRule>
    <cfRule type="cellIs" priority="3" operator="equal" dxfId="2">
      <formula>"Crítico"</formula>
    </cfRule>
    <cfRule type="cellIs" priority="4" operator="equal" dxfId="3">
      <formula>"N/A"</formula>
    </cfRule>
    <cfRule type="cellIs" priority="5" operator="equal" dxfId="4">
      <formula>"Pendente"</formula>
    </cfRule>
  </conditionalFormatting>
  <conditionalFormatting sqref="F4:F20">
    <cfRule type="cellIs" priority="6" operator="equal" dxfId="2">
      <formula>"Crítico"</formula>
    </cfRule>
    <cfRule type="cellIs" priority="7" operator="equal" dxfId="1">
      <formula>"Importante"</formula>
    </cfRule>
    <cfRule type="cellIs" priority="8" operator="equal" dxfId="3">
      <formula>"Bom ter"</formula>
    </cfRule>
  </conditionalFormatting>
  <conditionalFormatting sqref="A4:A20">
    <cfRule type="expression" priority="9" dxfId="0">
      <formula>A4="✓"</formula>
    </cfRule>
  </conditionalFormatting>
  <dataValidations count="2">
    <dataValidation sqref="G4:G20" showDropDown="0" showInputMessage="0" showErrorMessage="0" allowBlank="1" type="list">
      <formula1>_Listas!$A$1:$A$5</formula1>
    </dataValidation>
    <dataValidation sqref="A4:A20" showDropDown="0" showInputMessage="0" showErrorMessage="0" allowBlank="1" type="list">
      <formula1>_Listas!$B$1:$B$1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40" customWidth="1" min="2" max="2"/>
    <col width="58" customWidth="1" min="3" max="3"/>
    <col width="26" customWidth="1" min="4" max="4"/>
    <col width="50" customWidth="1" min="5" max="5"/>
    <col width="14" customWidth="1" min="6" max="6"/>
    <col width="14" customWidth="1" min="7" max="7"/>
    <col width="28" customWidth="1" min="8" max="8"/>
  </cols>
  <sheetData>
    <row r="1" ht="30" customHeight="1">
      <c r="A1" s="1" t="inlineStr">
        <is>
          <t>AUDITORIA DE CAMPANHAS — TRÁFEGO PAGO</t>
        </is>
      </c>
    </row>
    <row r="2" ht="18" customHeight="1">
      <c r="A2" s="2" t="inlineStr">
        <is>
          <t>V4 Company  ·  TikTok Ads</t>
        </is>
      </c>
    </row>
    <row r="3" ht="24" customHeight="1">
      <c r="A3" s="5" t="inlineStr">
        <is>
          <t>✓</t>
        </is>
      </c>
      <c r="B3" s="5" t="inlineStr">
        <is>
          <t>Item</t>
        </is>
      </c>
      <c r="C3" s="5" t="inlineStr">
        <is>
          <t>Como auditar (passo a passo + pontos de atenção)</t>
        </is>
      </c>
      <c r="D3" s="5" t="inlineStr">
        <is>
          <t>Benchmark / Referência 2026</t>
        </is>
      </c>
      <c r="E3" s="5" t="inlineStr">
        <is>
          <t>Como corrigir</t>
        </is>
      </c>
      <c r="F3" s="5" t="inlineStr">
        <is>
          <t>Criticidade</t>
        </is>
      </c>
      <c r="G3" s="5" t="inlineStr">
        <is>
          <t>Status</t>
        </is>
      </c>
      <c r="H3" s="5" t="inlineStr">
        <is>
          <t>Observações</t>
        </is>
      </c>
    </row>
    <row r="4" ht="20" customHeight="1">
      <c r="A4" s="2" t="inlineStr">
        <is>
          <t>5.1 Configuração</t>
        </is>
      </c>
    </row>
    <row r="5">
      <c r="A5" s="6" t="inlineStr"/>
      <c r="B5" s="7" t="inlineStr">
        <is>
          <t>TikTok Pixel + Events API</t>
        </is>
      </c>
      <c r="C5" s="7" t="inlineStr">
        <is>
          <t>Confira o Pixel e a Events API (server-side) disparando os eventos com deduplicação.</t>
        </is>
      </c>
      <c r="D5" s="7" t="inlineStr">
        <is>
          <t>Pixel + EAPI ativos</t>
        </is>
      </c>
      <c r="E5" s="7" t="inlineStr">
        <is>
          <t>Implemente Events API; valide eventos no Events Manager.</t>
        </is>
      </c>
      <c r="F5" s="6" t="inlineStr">
        <is>
          <t>Crítico</t>
        </is>
      </c>
      <c r="G5" s="6" t="inlineStr">
        <is>
          <t>Pendente</t>
        </is>
      </c>
      <c r="H5" s="7" t="inlineStr"/>
    </row>
    <row r="6">
      <c r="A6" s="8" t="inlineStr"/>
      <c r="B6" s="9" t="inlineStr">
        <is>
          <t>Eventos de conversão validados</t>
        </is>
      </c>
      <c r="C6" s="9" t="inlineStr">
        <is>
          <t>Faça uma conversão teste e confirme o registro do evento principal.</t>
        </is>
      </c>
      <c r="D6" s="9" t="inlineStr">
        <is>
          <t>Evento principal registrando</t>
        </is>
      </c>
      <c r="E6" s="9" t="inlineStr">
        <is>
          <t>Corrija o mapeamento de eventos; marque a conversão de otimização.</t>
        </is>
      </c>
      <c r="F6" s="8" t="inlineStr">
        <is>
          <t>Importante</t>
        </is>
      </c>
      <c r="G6" s="8" t="inlineStr">
        <is>
          <t>Pendente</t>
        </is>
      </c>
      <c r="H6" s="9" t="inlineStr"/>
    </row>
    <row r="7">
      <c r="A7" s="6" t="inlineStr"/>
      <c r="B7" s="7" t="inlineStr">
        <is>
          <t>Atribuição configurada</t>
        </is>
      </c>
      <c r="C7" s="7" t="inlineStr">
        <is>
          <t>Veja a janela de atribuição e se está coerente com o ciclo de compra.</t>
        </is>
      </c>
      <c r="D7" s="7" t="inlineStr">
        <is>
          <t>Janela coerente</t>
        </is>
      </c>
      <c r="E7" s="7" t="inlineStr">
        <is>
          <t>Ajuste a janela; alinhe a leitura com o cliente.</t>
        </is>
      </c>
      <c r="F7" s="6" t="inlineStr">
        <is>
          <t>Bom ter</t>
        </is>
      </c>
      <c r="G7" s="6" t="inlineStr">
        <is>
          <t>Pendente</t>
        </is>
      </c>
      <c r="H7" s="7" t="inlineStr"/>
    </row>
    <row r="8" ht="20" customHeight="1">
      <c r="A8" s="2" t="inlineStr">
        <is>
          <t>5.2 Criativos (o coração do TikTok)</t>
        </is>
      </c>
    </row>
    <row r="9">
      <c r="A9" s="8" t="inlineStr"/>
      <c r="B9" s="9" t="inlineStr">
        <is>
          <t>Criativos nativos / UGC</t>
        </is>
      </c>
      <c r="C9" s="9" t="inlineStr">
        <is>
          <t>Veja se os anúncios parecem conteúdo orgânico, não comercial. 'Anúncio de cara' performa mal no TikTok.</t>
        </is>
      </c>
      <c r="D9" s="9" t="inlineStr">
        <is>
          <t>Estética nativa/UGC</t>
        </is>
      </c>
      <c r="E9" s="9" t="inlineStr">
        <is>
          <t>Produza criativos no estilo da plataforma com creators; evite peças de marca engessadas.</t>
        </is>
      </c>
      <c r="F9" s="8" t="inlineStr">
        <is>
          <t>Crítico</t>
        </is>
      </c>
      <c r="G9" s="8" t="inlineStr">
        <is>
          <t>Pendente</t>
        </is>
      </c>
      <c r="H9" s="9" t="inlineStr"/>
    </row>
    <row r="10">
      <c r="A10" s="6" t="inlineStr"/>
      <c r="B10" s="7" t="inlineStr">
        <is>
          <t>Spark Ads (impulsionar orgânico/creators)</t>
        </is>
      </c>
      <c r="C10" s="7" t="inlineStr">
        <is>
          <t>Cheque se há Spark Ads usando posts orgânicos ou de creators, que tendem a render mais.</t>
        </is>
      </c>
      <c r="D10" s="7" t="inlineStr">
        <is>
          <t>Spark Ads em teste</t>
        </is>
      </c>
      <c r="E10" s="7" t="inlineStr">
        <is>
          <t>Ative Spark Ads sobre os melhores orgânicos e parcerias com creators.</t>
        </is>
      </c>
      <c r="F10" s="6" t="inlineStr">
        <is>
          <t>Importante</t>
        </is>
      </c>
      <c r="G10" s="6" t="inlineStr">
        <is>
          <t>Pendente</t>
        </is>
      </c>
      <c r="H10" s="7" t="inlineStr"/>
    </row>
    <row r="11">
      <c r="A11" s="8" t="inlineStr"/>
      <c r="B11" s="9" t="inlineStr">
        <is>
          <t>Som e texto na tela</t>
        </is>
      </c>
      <c r="C11" s="9" t="inlineStr">
        <is>
          <t>TikTok é som-on. Confirme áudio/trending sounds e legendas/texto na tela.</t>
        </is>
      </c>
      <c r="D11" s="9" t="inlineStr">
        <is>
          <t>Áudio + texto presentes</t>
        </is>
      </c>
      <c r="E11" s="9" t="inlineStr">
        <is>
          <t>Adicione trilha/trending sound e captions; sincronize com o ritmo.</t>
        </is>
      </c>
      <c r="F11" s="8" t="inlineStr">
        <is>
          <t>Importante</t>
        </is>
      </c>
      <c r="G11" s="8" t="inlineStr">
        <is>
          <t>Pendente</t>
        </is>
      </c>
      <c r="H11" s="9" t="inlineStr"/>
    </row>
    <row r="12">
      <c r="A12" s="6" t="inlineStr"/>
      <c r="B12" s="7" t="inlineStr">
        <is>
          <t>Hook nos primeiros 1-3s</t>
        </is>
      </c>
      <c r="C12" s="7" t="inlineStr">
        <is>
          <t>Assista às aberturas. Os primeiros segundos decidem a retenção.</t>
        </is>
      </c>
      <c r="D12" s="7" t="inlineStr">
        <is>
          <t>Hook imediato</t>
        </is>
      </c>
      <c r="E12" s="7" t="inlineStr">
        <is>
          <t>Refaça aberturas; teste padrões nativos (POV, before/after, lista).</t>
        </is>
      </c>
      <c r="F12" s="6" t="inlineStr">
        <is>
          <t>Importante</t>
        </is>
      </c>
      <c r="G12" s="6" t="inlineStr">
        <is>
          <t>Pendente</t>
        </is>
      </c>
      <c r="H12" s="7" t="inlineStr"/>
    </row>
    <row r="13">
      <c r="A13" s="8" t="inlineStr"/>
      <c r="B13" s="9" t="inlineStr">
        <is>
          <t>Volume de variações (fadiga alta)</t>
        </is>
      </c>
      <c r="C13" s="9" t="inlineStr">
        <is>
          <t>TikTok queima criativo rápido. Conte variações ativas e a frequência de troca.</t>
        </is>
      </c>
      <c r="D13" s="9" t="inlineStr">
        <is>
          <t>Renovação frequente de criativo</t>
        </is>
      </c>
      <c r="E13" s="9" t="inlineStr">
        <is>
          <t>Mantenha esteira de criativos; troque peças semanalmente.</t>
        </is>
      </c>
      <c r="F13" s="8" t="inlineStr">
        <is>
          <t>Importante</t>
        </is>
      </c>
      <c r="G13" s="8" t="inlineStr">
        <is>
          <t>Pendente</t>
        </is>
      </c>
      <c r="H13" s="9" t="inlineStr"/>
    </row>
    <row r="14" ht="20" customHeight="1">
      <c r="A14" s="2" t="inlineStr">
        <is>
          <t>5.3 Estrutura e públicos</t>
        </is>
      </c>
    </row>
    <row r="15">
      <c r="A15" s="6" t="inlineStr"/>
      <c r="B15" s="7" t="inlineStr">
        <is>
          <t>Otimização de orçamento e estrutura simples</t>
        </is>
      </c>
      <c r="C15" s="7" t="inlineStr">
        <is>
          <t>Veja se a estrutura é enxuta (TikTok prefere simplicidade) com orçamento adequado por grupo.</t>
        </is>
      </c>
      <c r="D15" s="7" t="inlineStr">
        <is>
          <t>Estrutura enxuta + CBO</t>
        </is>
      </c>
      <c r="E15" s="7" t="inlineStr">
        <is>
          <t>Simplifique; evite fragmentar verba em muitos grupos pequenos.</t>
        </is>
      </c>
      <c r="F15" s="6" t="inlineStr">
        <is>
          <t>Bom ter</t>
        </is>
      </c>
      <c r="G15" s="6" t="inlineStr">
        <is>
          <t>Pendente</t>
        </is>
      </c>
      <c r="H15" s="7" t="inlineStr"/>
    </row>
    <row r="16">
      <c r="A16" s="8" t="inlineStr"/>
      <c r="B16" s="9" t="inlineStr">
        <is>
          <t>Mix de públicos (amplo + lookalike + remarketing)</t>
        </is>
      </c>
      <c r="C16" s="9" t="inlineStr">
        <is>
          <t>Cheque públicos amplos, lookalikes e remarketing (engajamento/pixel).</t>
        </is>
      </c>
      <c r="D16" s="9" t="inlineStr">
        <is>
          <t>3 camadas presentes</t>
        </is>
      </c>
      <c r="E16" s="9" t="inlineStr">
        <is>
          <t>Crie lookalike de conversores; estruture remarketing de engajamento.</t>
        </is>
      </c>
      <c r="F16" s="8" t="inlineStr">
        <is>
          <t>Importante</t>
        </is>
      </c>
      <c r="G16" s="8" t="inlineStr">
        <is>
          <t>Pendente</t>
        </is>
      </c>
      <c r="H16" s="9" t="inlineStr"/>
    </row>
    <row r="17">
      <c r="A17" s="6" t="inlineStr"/>
      <c r="B17" s="7" t="inlineStr">
        <is>
          <t>Smart Targeting / Smart Performance avaliado</t>
        </is>
      </c>
      <c r="C17" s="7" t="inlineStr">
        <is>
          <t>Veja se as soluções automatizadas do TikTok foram testadas contra a segmentação manual.</t>
        </is>
      </c>
      <c r="D17" s="7" t="inlineStr">
        <is>
          <t>Automático testado vs manual</t>
        </is>
      </c>
      <c r="E17" s="7" t="inlineStr">
        <is>
          <t>Teste Smart Performance Campaign com verba dedicada.</t>
        </is>
      </c>
      <c r="F17" s="6" t="inlineStr">
        <is>
          <t>Bom ter</t>
        </is>
      </c>
      <c r="G17" s="6" t="inlineStr">
        <is>
          <t>Pendente</t>
        </is>
      </c>
      <c r="H17" s="7" t="inlineStr"/>
    </row>
    <row r="18" ht="20" customHeight="1">
      <c r="A18" s="2" t="inlineStr">
        <is>
          <t>5.4 Métricas TikTok</t>
        </is>
      </c>
    </row>
    <row r="19">
      <c r="A19" s="8" t="inlineStr"/>
      <c r="B19" s="9" t="inlineStr">
        <is>
          <t>CTR saudável</t>
        </is>
      </c>
      <c r="C19" s="9" t="inlineStr">
        <is>
          <t>Compare o CTR dos anúncios.</t>
        </is>
      </c>
      <c r="D19" s="9" t="inlineStr">
        <is>
          <t>&gt; 1%</t>
        </is>
      </c>
      <c r="E19" s="9" t="inlineStr">
        <is>
          <t>Troque hook/criativo; refine oferta.</t>
        </is>
      </c>
      <c r="F19" s="8" t="inlineStr">
        <is>
          <t>Bom ter</t>
        </is>
      </c>
      <c r="G19" s="8" t="inlineStr">
        <is>
          <t>Pendente</t>
        </is>
      </c>
      <c r="H19" s="9" t="inlineStr"/>
    </row>
    <row r="20">
      <c r="A20" s="6" t="inlineStr"/>
      <c r="B20" s="7" t="inlineStr">
        <is>
          <t>CVR e CPA vs oferta</t>
        </is>
      </c>
      <c r="C20" s="7" t="inlineStr">
        <is>
          <t>CPM costuma ser baixo, mas a conversão depende da oferta e da LP mobile.</t>
        </is>
      </c>
      <c r="D20" s="7" t="inlineStr">
        <is>
          <t>CPA &lt;= meta do cliente</t>
        </is>
      </c>
      <c r="E20" s="7" t="inlineStr">
        <is>
          <t>Otimize LP mobile e oferta; alinhe criativo-&gt;LP.</t>
        </is>
      </c>
      <c r="F20" s="6" t="inlineStr">
        <is>
          <t>Importante</t>
        </is>
      </c>
      <c r="G20" s="6" t="inlineStr">
        <is>
          <t>Pendente</t>
        </is>
      </c>
      <c r="H20" s="7" t="inlineStr"/>
    </row>
    <row r="21">
      <c r="A21" s="8" t="inlineStr"/>
      <c r="B21" s="9" t="inlineStr">
        <is>
          <t>Fadiga criativa e frequência</t>
        </is>
      </c>
      <c r="C21" s="9" t="inlineStr">
        <is>
          <t>Monitore queda de CTR/aumento de CPM como sinal de fadiga.</t>
        </is>
      </c>
      <c r="D21" s="9" t="inlineStr">
        <is>
          <t>Trocar criativo ao sinal de queda</t>
        </is>
      </c>
      <c r="E21" s="9" t="inlineStr">
        <is>
          <t>Renove criativos; pause os fatigados.</t>
        </is>
      </c>
      <c r="F21" s="8" t="inlineStr">
        <is>
          <t>Bom ter</t>
        </is>
      </c>
      <c r="G21" s="8" t="inlineStr">
        <is>
          <t>Pendente</t>
        </is>
      </c>
      <c r="H21" s="9" t="inlineStr"/>
    </row>
    <row r="22">
      <c r="A22" s="6" t="inlineStr"/>
      <c r="B22" s="7" t="inlineStr">
        <is>
          <t>Retenção de vídeo</t>
        </is>
      </c>
      <c r="C22" s="7" t="inlineStr">
        <is>
          <t>Veja o tempo médio de exibição / % de retenção dos vídeos.</t>
        </is>
      </c>
      <c r="D22" s="7" t="inlineStr">
        <is>
          <t>Retenção crescente vs base</t>
        </is>
      </c>
      <c r="E22" s="7" t="inlineStr">
        <is>
          <t>Encurte; melhore hook e ritmo; corte trechos de baixa retenção.</t>
        </is>
      </c>
      <c r="F22" s="6" t="inlineStr">
        <is>
          <t>Bom ter</t>
        </is>
      </c>
      <c r="G22" s="6" t="inlineStr">
        <is>
          <t>Pendente</t>
        </is>
      </c>
      <c r="H22" s="7" t="inlineStr"/>
    </row>
  </sheetData>
  <mergeCells count="6">
    <mergeCell ref="A18:H18"/>
    <mergeCell ref="A4:H4"/>
    <mergeCell ref="A2:H2"/>
    <mergeCell ref="A14:H14"/>
    <mergeCell ref="A1:H1"/>
    <mergeCell ref="A8:H8"/>
  </mergeCells>
  <conditionalFormatting sqref="G4:G22">
    <cfRule type="cellIs" priority="1" operator="equal" dxfId="0">
      <formula>"OK"</formula>
    </cfRule>
    <cfRule type="cellIs" priority="2" operator="equal" dxfId="1">
      <formula>"Ajustar"</formula>
    </cfRule>
    <cfRule type="cellIs" priority="3" operator="equal" dxfId="2">
      <formula>"Crítico"</formula>
    </cfRule>
    <cfRule type="cellIs" priority="4" operator="equal" dxfId="3">
      <formula>"N/A"</formula>
    </cfRule>
    <cfRule type="cellIs" priority="5" operator="equal" dxfId="4">
      <formula>"Pendente"</formula>
    </cfRule>
  </conditionalFormatting>
  <conditionalFormatting sqref="F4:F22">
    <cfRule type="cellIs" priority="6" operator="equal" dxfId="2">
      <formula>"Crítico"</formula>
    </cfRule>
    <cfRule type="cellIs" priority="7" operator="equal" dxfId="1">
      <formula>"Importante"</formula>
    </cfRule>
    <cfRule type="cellIs" priority="8" operator="equal" dxfId="3">
      <formula>"Bom ter"</formula>
    </cfRule>
  </conditionalFormatting>
  <conditionalFormatting sqref="A4:A22">
    <cfRule type="expression" priority="9" dxfId="0">
      <formula>A4="✓"</formula>
    </cfRule>
  </conditionalFormatting>
  <dataValidations count="2">
    <dataValidation sqref="G4:G22" showDropDown="0" showInputMessage="0" showErrorMessage="0" allowBlank="1" type="list">
      <formula1>_Listas!$A$1:$A$5</formula1>
    </dataValidation>
    <dataValidation sqref="A4:A22" showDropDown="0" showInputMessage="0" showErrorMessage="0" allowBlank="1" type="list">
      <formula1>_Listas!$B$1:$B$1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9" customWidth="1" min="3" max="3"/>
    <col width="10" customWidth="1" min="4" max="4"/>
    <col width="10" customWidth="1" min="5" max="5"/>
    <col width="11" customWidth="1" min="6" max="6"/>
    <col width="8" customWidth="1" min="7" max="7"/>
    <col width="14" customWidth="1" min="8" max="8"/>
  </cols>
  <sheetData>
    <row r="1" ht="30" customHeight="1">
      <c r="A1" s="1" t="inlineStr">
        <is>
          <t>RESUMO DA AUDITORIA</t>
        </is>
      </c>
    </row>
    <row r="2" ht="18" customHeight="1">
      <c r="A2" s="2" t="inlineStr">
        <is>
          <t>V4 Company  ·  preenche automaticamente conforme o Status</t>
        </is>
      </c>
    </row>
    <row r="3" ht="24" customHeight="1">
      <c r="A3" s="5" t="inlineStr">
        <is>
          <t>Frente</t>
        </is>
      </c>
      <c r="B3" s="5" t="inlineStr">
        <is>
          <t>Itens</t>
        </is>
      </c>
      <c r="C3" s="5" t="inlineStr">
        <is>
          <t>OK</t>
        </is>
      </c>
      <c r="D3" s="5" t="inlineStr">
        <is>
          <t>Ajustar</t>
        </is>
      </c>
      <c r="E3" s="5" t="inlineStr">
        <is>
          <t>Crítico</t>
        </is>
      </c>
      <c r="F3" s="5" t="inlineStr">
        <is>
          <t>Pendente</t>
        </is>
      </c>
      <c r="G3" s="5" t="inlineStr">
        <is>
          <t>N/A</t>
        </is>
      </c>
      <c r="H3" s="5" t="inlineStr">
        <is>
          <t>% revisado</t>
        </is>
      </c>
    </row>
    <row r="4">
      <c r="A4" s="10" t="inlineStr">
        <is>
          <t>Fundamentos</t>
        </is>
      </c>
      <c r="B4" s="11">
        <f>SUM(C4:G4)</f>
        <v/>
      </c>
      <c r="C4" s="11">
        <f>COUNTIF('Fundamentos'!G:G,"OK")</f>
        <v/>
      </c>
      <c r="D4" s="11">
        <f>COUNTIF('Fundamentos'!G:G,"Ajustar")</f>
        <v/>
      </c>
      <c r="E4" s="11">
        <f>COUNTIF('Fundamentos'!G:G,"Crítico")</f>
        <v/>
      </c>
      <c r="F4" s="11">
        <f>COUNTIF('Fundamentos'!G:G,"Pendente")</f>
        <v/>
      </c>
      <c r="G4" s="11">
        <f>COUNTIF('Fundamentos'!G:G,"N/A")</f>
        <v/>
      </c>
      <c r="H4" s="12">
        <f>IF(B4=0,0,(C4+G4)/B4)</f>
        <v/>
      </c>
    </row>
    <row r="5">
      <c r="A5" s="13" t="inlineStr">
        <is>
          <t>Meta Ads</t>
        </is>
      </c>
      <c r="B5" s="14">
        <f>SUM(C5:G5)</f>
        <v/>
      </c>
      <c r="C5" s="14">
        <f>COUNTIF('Meta Ads'!G:G,"OK")</f>
        <v/>
      </c>
      <c r="D5" s="14">
        <f>COUNTIF('Meta Ads'!G:G,"Ajustar")</f>
        <v/>
      </c>
      <c r="E5" s="14">
        <f>COUNTIF('Meta Ads'!G:G,"Crítico")</f>
        <v/>
      </c>
      <c r="F5" s="14">
        <f>COUNTIF('Meta Ads'!G:G,"Pendente")</f>
        <v/>
      </c>
      <c r="G5" s="14">
        <f>COUNTIF('Meta Ads'!G:G,"N/A")</f>
        <v/>
      </c>
      <c r="H5" s="15">
        <f>IF(B5=0,0,(C5+G5)/B5)</f>
        <v/>
      </c>
    </row>
    <row r="6">
      <c r="A6" s="10" t="inlineStr">
        <is>
          <t>Google Ads</t>
        </is>
      </c>
      <c r="B6" s="11">
        <f>SUM(C6:G6)</f>
        <v/>
      </c>
      <c r="C6" s="11">
        <f>COUNTIF('Google Ads'!G:G,"OK")</f>
        <v/>
      </c>
      <c r="D6" s="11">
        <f>COUNTIF('Google Ads'!G:G,"Ajustar")</f>
        <v/>
      </c>
      <c r="E6" s="11">
        <f>COUNTIF('Google Ads'!G:G,"Crítico")</f>
        <v/>
      </c>
      <c r="F6" s="11">
        <f>COUNTIF('Google Ads'!G:G,"Pendente")</f>
        <v/>
      </c>
      <c r="G6" s="11">
        <f>COUNTIF('Google Ads'!G:G,"N/A")</f>
        <v/>
      </c>
      <c r="H6" s="12">
        <f>IF(B6=0,0,(C6+G6)/B6)</f>
        <v/>
      </c>
    </row>
    <row r="7">
      <c r="A7" s="13" t="inlineStr">
        <is>
          <t>LinkedIn Ads</t>
        </is>
      </c>
      <c r="B7" s="14">
        <f>SUM(C7:G7)</f>
        <v/>
      </c>
      <c r="C7" s="14">
        <f>COUNTIF('LinkedIn Ads'!G:G,"OK")</f>
        <v/>
      </c>
      <c r="D7" s="14">
        <f>COUNTIF('LinkedIn Ads'!G:G,"Ajustar")</f>
        <v/>
      </c>
      <c r="E7" s="14">
        <f>COUNTIF('LinkedIn Ads'!G:G,"Crítico")</f>
        <v/>
      </c>
      <c r="F7" s="14">
        <f>COUNTIF('LinkedIn Ads'!G:G,"Pendente")</f>
        <v/>
      </c>
      <c r="G7" s="14">
        <f>COUNTIF('LinkedIn Ads'!G:G,"N/A")</f>
        <v/>
      </c>
      <c r="H7" s="15">
        <f>IF(B7=0,0,(C7+G7)/B7)</f>
        <v/>
      </c>
    </row>
    <row r="8">
      <c r="A8" s="10" t="inlineStr">
        <is>
          <t>TikTok Ads</t>
        </is>
      </c>
      <c r="B8" s="11">
        <f>SUM(C8:G8)</f>
        <v/>
      </c>
      <c r="C8" s="11">
        <f>COUNTIF('TikTok Ads'!G:G,"OK")</f>
        <v/>
      </c>
      <c r="D8" s="11">
        <f>COUNTIF('TikTok Ads'!G:G,"Ajustar")</f>
        <v/>
      </c>
      <c r="E8" s="11">
        <f>COUNTIF('TikTok Ads'!G:G,"Crítico")</f>
        <v/>
      </c>
      <c r="F8" s="11">
        <f>COUNTIF('TikTok Ads'!G:G,"Pendente")</f>
        <v/>
      </c>
      <c r="G8" s="11">
        <f>COUNTIF('TikTok Ads'!G:G,"N/A")</f>
        <v/>
      </c>
      <c r="H8" s="12">
        <f>IF(B8=0,0,(C8+G8)/B8)</f>
        <v/>
      </c>
    </row>
    <row r="9">
      <c r="A9" s="16" t="inlineStr">
        <is>
          <t>TOTAL</t>
        </is>
      </c>
      <c r="B9" s="17">
        <f>SUM(B4:B8)</f>
        <v/>
      </c>
      <c r="C9" s="17">
        <f>SUM(C4:C8)</f>
        <v/>
      </c>
      <c r="D9" s="17">
        <f>SUM(D4:D8)</f>
        <v/>
      </c>
      <c r="E9" s="17">
        <f>SUM(E4:E8)</f>
        <v/>
      </c>
      <c r="F9" s="17">
        <f>SUM(F4:F8)</f>
        <v/>
      </c>
      <c r="G9" s="17">
        <f>SUM(G4:G8)</f>
        <v/>
      </c>
      <c r="H9" s="18">
        <f>IF(B9=0,0,(C9+G9)/B9)</f>
        <v/>
      </c>
    </row>
  </sheetData>
  <mergeCells count="2">
    <mergeCell ref="A2:H2"/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Pendente</t>
        </is>
      </c>
      <c r="B1" t="inlineStr">
        <is>
          <t>✓</t>
        </is>
      </c>
    </row>
    <row r="2">
      <c r="A2" t="inlineStr">
        <is>
          <t>OK</t>
        </is>
      </c>
    </row>
    <row r="3">
      <c r="A3" t="inlineStr">
        <is>
          <t>Ajustar</t>
        </is>
      </c>
    </row>
    <row r="4">
      <c r="A4" t="inlineStr">
        <is>
          <t>Crítico</t>
        </is>
      </c>
    </row>
    <row r="5">
      <c r="A5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2026-06-28T02:06:01Z</dcterms:created>
  <dcterms:modified xsi:type="dcterms:W3CDTF">2026-06-28T02:06:01Z</dcterms:modified>
</cp:coreProperties>
</file>