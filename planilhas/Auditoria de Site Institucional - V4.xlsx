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Site Institucional" sheetId="2" state="visible" r:id="rId2"/>
    <sheet name="Resumo" sheetId="3" state="visible" r:id="rId3"/>
    <sheet name="_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A0A0A"/>
      <sz val="12"/>
    </font>
    <font>
      <name val="Arial"/>
      <color rgb="000A0A0A"/>
      <sz val="10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991B1B"/>
      </font>
      <fill>
        <patternFill patternType="solid">
          <fgColor rgb="00FEE2E2"/>
        </patternFill>
      </fill>
    </dxf>
    <dxf>
      <font>
        <color rgb="005A5A62"/>
      </font>
      <fill>
        <patternFill patternType="solid">
          <fgColor rgb="00E5E7EB"/>
        </patternFill>
      </fill>
    </dxf>
    <dxf>
      <font>
        <color rgb="005A5A62"/>
      </font>
      <fill>
        <patternFill patternType="solid">
          <f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A1" s="1" t="inlineStr">
        <is>
          <t>AUDITORIA DE SITE INSTITUCIONAL</t>
        </is>
      </c>
    </row>
    <row r="2" ht="18" customHeight="1">
      <c r="A2" s="2" t="inlineStr">
        <is>
          <t>V4 Company  ·  Como usar esta auditoria</t>
        </is>
      </c>
    </row>
    <row r="4">
      <c r="B4" s="3" t="inlineStr">
        <is>
          <t>Para que serve</t>
        </is>
      </c>
    </row>
    <row r="5">
      <c r="B5" s="4" t="inlineStr">
        <is>
          <t>•  Auditar a presença digital de um site institucional multi-página (home, sobre, serviços, contato, blog) de forma padronizada.</t>
        </is>
      </c>
    </row>
    <row r="6">
      <c r="B6" s="4" t="inlineStr">
        <is>
          <t>•  Identificar falhas técnicas, de conteúdo, de SEO básico e de conversão antes de investir em tráfego ou divulgação.</t>
        </is>
      </c>
    </row>
    <row r="7">
      <c r="B7" s="4" t="inlineStr">
        <is>
          <t>•  Serve sozinha (sem IA) ou como base para a auditoria assistida do Blackbox.</t>
        </is>
      </c>
    </row>
    <row r="9">
      <c r="B9" s="3" t="inlineStr">
        <is>
          <t>Passo a passo</t>
        </is>
      </c>
    </row>
    <row r="10">
      <c r="B10" s="4" t="inlineStr">
        <is>
          <t>1. Abra o site em desktop e mobile e tenha em mãos PageSpeed Insights, Search Console e GA4 do cliente (se houver).</t>
        </is>
      </c>
    </row>
    <row r="11">
      <c r="B11" s="4" t="inlineStr">
        <is>
          <t>2. Percorra a aba Site Institucional na ordem das seções, da infraestrutura à conversão.</t>
        </is>
      </c>
    </row>
    <row r="12">
      <c r="B12" s="4" t="inlineStr">
        <is>
          <t>3. Para cada item: leia 'Como auditar', compare com o 'Benchmark', defina o Status e anote em Observações.</t>
        </is>
      </c>
    </row>
    <row r="13">
      <c r="B13" s="4" t="inlineStr">
        <is>
          <t>4. Quando o Status for Ajustar/Crítico, use a coluna 'Como corrigir' como guia do plano de ação.</t>
        </is>
      </c>
    </row>
    <row r="14">
      <c r="B14" s="4" t="inlineStr">
        <is>
          <t>5. Marque N/A nos itens que não se aplicam (ex: blog inexistente, negócio sem local físico).</t>
        </is>
      </c>
    </row>
    <row r="15">
      <c r="B15" s="4" t="inlineStr">
        <is>
          <t>6. Acompanhe o progresso na aba Resumo (preenche automaticamente).</t>
        </is>
      </c>
    </row>
    <row r="17">
      <c r="B17" s="3" t="inlineStr">
        <is>
          <t>Como ler as colunas</t>
        </is>
      </c>
    </row>
    <row r="18">
      <c r="B18" s="4" t="inlineStr">
        <is>
          <t>•  Como auditar — onde olhar e o que verificar em cada ponto.</t>
        </is>
      </c>
    </row>
    <row r="19">
      <c r="B19" s="4" t="inlineStr">
        <is>
          <t>•  Benchmark / Referência 2026 — número de comparação. '(validar)' = confirmar no contexto do cliente.</t>
        </is>
      </c>
    </row>
    <row r="20">
      <c r="B20" s="4" t="inlineStr">
        <is>
          <t>•  Como corrigir — o que fazer quando o ponto está fora do esperado.</t>
        </is>
      </c>
    </row>
    <row r="21">
      <c r="B21" s="4" t="inlineStr">
        <is>
          <t>•  Criticidade — Crítico (resolver já) · Importante (resolver no ciclo) · Bom ter (ganho marginal).</t>
        </is>
      </c>
    </row>
    <row r="22">
      <c r="B22" s="4" t="inlineStr">
        <is>
          <t>•  Status — Pendente / OK / Ajustar / Crítico / N/A (menu suspenso). A aba Resumo conta sozinha.</t>
        </is>
      </c>
    </row>
    <row r="23">
      <c r="B23" s="4" t="inlineStr">
        <is>
          <t>•  Coluna ✓ — selecione o ✓ para marcar o item como revisado (fica verde).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SITE INSTITUCIONAL</t>
        </is>
      </c>
    </row>
    <row r="2" ht="18" customHeight="1">
      <c r="A2" s="2" t="inlineStr">
        <is>
          <t>V4 Company  ·  Site Institucional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1.1 Infraestrutura, segurança e técnico</t>
        </is>
      </c>
    </row>
    <row r="5">
      <c r="A5" s="6" t="inlineStr"/>
      <c r="B5" s="7" t="inlineStr">
        <is>
          <t>HTTPS/SSL válido em todas as páginas</t>
        </is>
      </c>
      <c r="C5" s="7" t="inlineStr">
        <is>
          <t>Confira o cadeado no navegador e force http:// na URL para ver se redireciona para https://. Clique no cadeado e cheque a validade do certificado. Teste home, sobre, serviços, contato e blog.</t>
        </is>
      </c>
      <c r="D5" s="7" t="inlineStr">
        <is>
          <t>HTTPS forçado + certificado válido</t>
        </is>
      </c>
      <c r="E5" s="7" t="inlineStr">
        <is>
          <t>Instale/renove o SSL (Let's Encrypt ou do provedor); configure redirect 301 de http para https e corrija conteúdo misto (assets em http).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Performance, Core Web Vitals e tempo de carregamento</t>
        </is>
      </c>
      <c r="C6" s="9" t="inlineStr">
        <is>
          <t>Rode o PageSpeed Insights / Lighthouse na home e nas páginas principais (no 4G simulado, não só Wi-Fi). Olhe LCP, INP e CLS no relatório de campo. Sinal de alerta: notas vermelhas no mobile.</t>
        </is>
      </c>
      <c r="D6" s="9" t="inlineStr">
        <is>
          <t>LCP &lt; 2,5s · INP &lt; 200ms · CLS &lt; 0,1 · carregamento &lt; 3s</t>
        </is>
      </c>
      <c r="E6" s="9" t="inlineStr">
        <is>
          <t>Otimize imagens (WebP, dimensões corretas), use lazy-load, minifique CSS/JS, ative cache/CDN e reserve espaço para evitar deslocamento (CLS).</t>
        </is>
      </c>
      <c r="F6" s="8" t="inlineStr">
        <is>
          <t>Importante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Responsividade mobile</t>
        </is>
      </c>
      <c r="C7" s="7" t="inlineStr">
        <is>
          <t>Abra o site no celular e no DevTools (modo responsivo) em 360px, 768px e 1280px. Veja se texto, menu e botões se adaptam, sem rolagem horizontal nem elementos cortados.</t>
        </is>
      </c>
      <c r="D7" s="7" t="inlineStr">
        <is>
          <t>Layout adaptado mobile-first</t>
        </is>
      </c>
      <c r="E7" s="7" t="inlineStr">
        <is>
          <t>Ajuste o CSS responsivo (media queries / framework), garanta área de toque adequada nos botões e teste o menu hambúrguer.</t>
        </is>
      </c>
      <c r="F7" s="6" t="inlineStr">
        <is>
          <t>Importante</t>
        </is>
      </c>
      <c r="G7" s="6" t="inlineStr">
        <is>
          <t>Pendente</t>
        </is>
      </c>
      <c r="H7" s="7" t="inlineStr"/>
    </row>
    <row r="8">
      <c r="A8" s="8" t="inlineStr"/>
      <c r="B8" s="9" t="inlineStr">
        <is>
          <t>Domínio próprio, e-mail profissional e favicon</t>
        </is>
      </c>
      <c r="C8" s="9" t="inlineStr">
        <is>
          <t>Confirme domínio próprio (empresa.com.br) e contato com e-mail no domínio (contato@empresa.com.br), não Gmail/Hotmail. Veja também o favicon da marca na aba do navegador.</t>
        </is>
      </c>
      <c r="D8" s="9" t="inlineStr">
        <is>
          <t>Domínio próprio · e-mail @dominio · favicon</t>
        </is>
      </c>
      <c r="E8" s="9" t="inlineStr">
        <is>
          <t>Registre o domínio, configure e-mail profissional (Workspace/Zoho) com SPF/DKIM/DMARC e adicione o favicon (incl. apple-touch-icon) no &lt;head&gt;.</t>
        </is>
      </c>
      <c r="F8" s="8" t="inlineStr">
        <is>
          <t>Importante</t>
        </is>
      </c>
      <c r="G8" s="8" t="inlineStr">
        <is>
          <t>Pendente</t>
        </is>
      </c>
      <c r="H8" s="9" t="inlineStr"/>
    </row>
    <row r="9">
      <c r="A9" s="6" t="inlineStr"/>
      <c r="B9" s="7" t="inlineStr">
        <is>
          <t>Banner de cookies / conformidade LGPD</t>
        </is>
      </c>
      <c r="C9" s="7" t="inlineStr">
        <is>
          <t>Veja se há banner de consentimento de cookies e link para política de privacidade. Verifique se há captura de dados (formulários) sem aviso de privacidade.</t>
        </is>
      </c>
      <c r="D9" s="7" t="inlineStr">
        <is>
          <t>Banner de cookies + política de privacidade</t>
        </is>
      </c>
      <c r="E9" s="7" t="inlineStr">
        <is>
          <t>Implemente CMP de cookies com aceite/recusa, publique política de privacidade e termos, e registre a base legal de coleta de dados.</t>
        </is>
      </c>
      <c r="F9" s="6" t="inlineStr">
        <is>
          <t>Crítico</t>
        </is>
      </c>
      <c r="G9" s="6" t="inlineStr">
        <is>
          <t>Pendente</t>
        </is>
      </c>
      <c r="H9" s="7" t="inlineStr"/>
    </row>
    <row r="10">
      <c r="A10" s="8" t="inlineStr"/>
      <c r="B10" s="9" t="inlineStr">
        <is>
          <t>Backup e atualizações em dia</t>
        </is>
      </c>
      <c r="C10" s="9" t="inlineStr">
        <is>
          <t>Verifique se há rotina de backup e se o CMS, tema e plugins estão atualizados. Site desatualizado é vetor de invasão.</t>
        </is>
      </c>
      <c r="D10" s="9" t="inlineStr">
        <is>
          <t>Backup automático + CMS/plugins atualizados</t>
        </is>
      </c>
      <c r="E10" s="9" t="inlineStr">
        <is>
          <t>Configure backup automático periódico, atualize CMS/tema/plugins e remova plugins/temas sem uso.</t>
        </is>
      </c>
      <c r="F10" s="8" t="inlineStr">
        <is>
          <t>Bom ter</t>
        </is>
      </c>
      <c r="G10" s="8" t="inlineStr">
        <is>
          <t>Pendente</t>
        </is>
      </c>
      <c r="H10" s="9" t="inlineStr"/>
    </row>
    <row r="11" ht="20" customHeight="1">
      <c r="A11" s="2" t="inlineStr">
        <is>
          <t>1.2 Estrutura e navegação</t>
        </is>
      </c>
    </row>
    <row r="12">
      <c r="A12" s="6" t="inlineStr"/>
      <c r="B12" s="7" t="inlineStr">
        <is>
          <t>Menu claro e arquitetura de páginas essenciais</t>
        </is>
      </c>
      <c r="C12" s="7" t="inlineStr">
        <is>
          <t>Olhe o menu: itens diretos, enxutos e em ordem lógica. Confirme a existência das páginas-base (home, sobre, serviços/produtos, contato, blog) acessíveis pelo menu. Sinal de alerta: muitos itens ou nomes vagos.</t>
        </is>
      </c>
      <c r="D12" s="7" t="inlineStr">
        <is>
          <t>Menu enxuto · Home/Sobre/Serviços/Contato/Blog</t>
        </is>
      </c>
      <c r="E12" s="7" t="inlineStr">
        <is>
          <t>Reduza o menu a itens essenciais com nomes claros; crie as páginas que faltam e conecte-as ao menu/rodapé.</t>
        </is>
      </c>
      <c r="F12" s="6" t="inlineStr">
        <is>
          <t>Importante</t>
        </is>
      </c>
      <c r="G12" s="6" t="inlineStr">
        <is>
          <t>Pendente</t>
        </is>
      </c>
      <c r="H12" s="7" t="inlineStr"/>
    </row>
    <row r="13">
      <c r="A13" s="8" t="inlineStr"/>
      <c r="B13" s="9" t="inlineStr">
        <is>
          <t>Rodapé com dados da empresa</t>
        </is>
      </c>
      <c r="C13" s="9" t="inlineStr">
        <is>
          <t>Veja se o rodapé traz nome/razão social, CNPJ, endereço, telefone, e-mail e links institucionais (política de privacidade, redes sociais).</t>
        </is>
      </c>
      <c r="D13" s="9" t="inlineStr">
        <is>
          <t>Rodapé com CNPJ + contato + institucional</t>
        </is>
      </c>
      <c r="E13" s="9" t="inlineStr">
        <is>
          <t>Inclua no rodapé os dados da empresa (CNPJ, endereço, contato) e os links de política de privacidade e redes sociais.</t>
        </is>
      </c>
      <c r="F13" s="8" t="inlineStr">
        <is>
          <t>Importante</t>
        </is>
      </c>
      <c r="G13" s="8" t="inlineStr">
        <is>
          <t>Pendente</t>
        </is>
      </c>
      <c r="H13" s="9" t="inlineStr"/>
    </row>
    <row r="14">
      <c r="A14" s="6" t="inlineStr"/>
      <c r="B14" s="7" t="inlineStr">
        <is>
          <t>Ausência de links quebrados</t>
        </is>
      </c>
      <c r="C14" s="7" t="inlineStr">
        <is>
          <t>Rode um verificador de links quebrados ou navegue manualmente. Procure por erros 404 em menu, botões e conteúdo.</t>
        </is>
      </c>
      <c r="D14" s="7" t="inlineStr">
        <is>
          <t>Zero links quebrados (404)</t>
        </is>
      </c>
      <c r="E14" s="7" t="inlineStr">
        <is>
          <t>Corrija ou remova os links quebrados; configure redirects 301 para URLs antigas e crie uma página 404 amigável com caminho de volta.</t>
        </is>
      </c>
      <c r="F14" s="6" t="inlineStr">
        <is>
          <t>Importante</t>
        </is>
      </c>
      <c r="G14" s="6" t="inlineStr">
        <is>
          <t>Pendente</t>
        </is>
      </c>
      <c r="H14" s="7" t="inlineStr"/>
    </row>
    <row r="15">
      <c r="A15" s="8" t="inlineStr"/>
      <c r="B15" s="9" t="inlineStr">
        <is>
          <t>Busca / breadcrumb quando aplicável</t>
        </is>
      </c>
      <c r="C15" s="9" t="inlineStr">
        <is>
          <t>Em sites com muitas páginas ou blog, veja se há campo de busca e trilha de navegação (breadcrumb) para orientar o usuário.</t>
        </is>
      </c>
      <c r="D15" s="9" t="inlineStr">
        <is>
          <t>Busca e breadcrumb em sites extensos</t>
        </is>
      </c>
      <c r="E15" s="9" t="inlineStr">
        <is>
          <t>Adicione busca interna e breadcrumbs em sites com volume de conteúdo; em sites pequenos, marque N/A.</t>
        </is>
      </c>
      <c r="F15" s="8" t="inlineStr">
        <is>
          <t>Bom ter</t>
        </is>
      </c>
      <c r="G15" s="8" t="inlineStr">
        <is>
          <t>Pendente</t>
        </is>
      </c>
      <c r="H15" s="9" t="inlineStr"/>
    </row>
    <row r="16" ht="20" customHeight="1">
      <c r="A16" s="2" t="inlineStr">
        <is>
          <t>1.3 Conteúdo e credibilidade</t>
        </is>
      </c>
    </row>
    <row r="17">
      <c r="A17" s="6" t="inlineStr"/>
      <c r="B17" s="7" t="inlineStr">
        <is>
          <t>Proposta de valor clara na home</t>
        </is>
      </c>
      <c r="C17" s="7" t="inlineStr">
        <is>
          <t>Leia a primeira dobra da home: em segundos dá para entender o que a empresa faz, para quem e o benefício? Sinal de alerta: título genérico ou só o nome da empresa.</t>
        </is>
      </c>
      <c r="D17" s="7" t="inlineStr">
        <is>
          <t>Proposta de valor compreendida em &lt; 5s</t>
        </is>
      </c>
      <c r="E17" s="7" t="inlineStr">
        <is>
          <t>Reescreva a primeira dobra com headline objetiva (o que faz + para quem + benefício) e um CTA claro.</t>
        </is>
      </c>
      <c r="F17" s="6" t="inlineStr">
        <is>
          <t>Importante</t>
        </is>
      </c>
      <c r="G17" s="6" t="inlineStr">
        <is>
          <t>Pendente</t>
        </is>
      </c>
      <c r="H17" s="7" t="inlineStr"/>
    </row>
    <row r="18">
      <c r="A18" s="8" t="inlineStr"/>
      <c r="B18" s="9" t="inlineStr">
        <is>
          <t>Páginas de serviço/produto bem descritas</t>
        </is>
      </c>
      <c r="C18" s="9" t="inlineStr">
        <is>
          <t>Abra cada página de serviço/produto: há descrição do que é, para quem, benefícios e próximo passo? Conteúdo raso reduz conversão e SEO.</t>
        </is>
      </c>
      <c r="D18" s="9" t="inlineStr">
        <is>
          <t>Cada serviço com descrição + CTA</t>
        </is>
      </c>
      <c r="E18" s="9" t="inlineStr">
        <is>
          <t>Detalhe cada serviço/produto (problema, benefícios, diferenciais, CTA); evite páginas com só um parágrafo.</t>
        </is>
      </c>
      <c r="F18" s="8" t="inlineStr">
        <is>
          <t>Importante</t>
        </is>
      </c>
      <c r="G18" s="8" t="inlineStr">
        <is>
          <t>Pendente</t>
        </is>
      </c>
      <c r="H18" s="9" t="inlineStr"/>
    </row>
    <row r="19">
      <c r="A19" s="6" t="inlineStr"/>
      <c r="B19" s="7" t="inlineStr">
        <is>
          <t>Prova social, página 'sobre' e clareza da empresa</t>
        </is>
      </c>
      <c r="C19" s="7" t="inlineStr">
        <is>
          <t>Procure depoimentos, cases, logos, selos. Leia a página sobre (história, propósito, quem está por trás). Navegando como visitante novo, fica claro o que a empresa faz e como contratar?</t>
        </is>
      </c>
      <c r="D19" s="7" t="inlineStr">
        <is>
          <t>Provas sociais + 'sobre' + mensagem consistente</t>
        </is>
      </c>
      <c r="E19" s="7" t="inlineStr">
        <is>
          <t>Adicione depoimentos/cases/selos perto dos CTAs, escreva a página sobre (história e propósito) e alinhe a mensagem entre home, sobre e serviços.</t>
        </is>
      </c>
      <c r="F19" s="6" t="inlineStr">
        <is>
          <t>Importante</t>
        </is>
      </c>
      <c r="G19" s="6" t="inlineStr">
        <is>
          <t>Pendente</t>
        </is>
      </c>
      <c r="H19" s="7" t="inlineStr"/>
    </row>
    <row r="20">
      <c r="A20" s="8" t="inlineStr"/>
      <c r="B20" s="9" t="inlineStr">
        <is>
          <t>Blog ativo e atualizado</t>
        </is>
      </c>
      <c r="C20" s="9" t="inlineStr">
        <is>
          <t>Veja a data das últimas publicações do blog. Blog parado há muito tempo passa impressão de abandono.</t>
        </is>
      </c>
      <c r="D20" s="9" t="inlineStr">
        <is>
          <t>Publicações recentes (sem grandes lacunas)</t>
        </is>
      </c>
      <c r="E20" s="9" t="inlineStr">
        <is>
          <t>Defina calendário editorial e retome a publicação; atualize ou despublique conteúdo obsoleto. Sem blog na estratégia, marque N/A.</t>
        </is>
      </c>
      <c r="F20" s="8" t="inlineStr">
        <is>
          <t>Bom ter</t>
        </is>
      </c>
      <c r="G20" s="8" t="inlineStr">
        <is>
          <t>Pendente</t>
        </is>
      </c>
      <c r="H20" s="9" t="inlineStr"/>
    </row>
    <row r="21" ht="20" customHeight="1">
      <c r="A21" s="2" t="inlineStr">
        <is>
          <t>1.4 SEO on-page básico</t>
        </is>
      </c>
    </row>
    <row r="22">
      <c r="A22" s="6" t="inlineStr"/>
      <c r="B22" s="7" t="inlineStr">
        <is>
          <t>Títulos (title) e meta descriptions únicos por página</t>
        </is>
      </c>
      <c r="C22" s="7" t="inlineStr">
        <is>
          <t>Veja o código-fonte (ou extensão de SEO) e cheque a tag &lt;title&gt; e a meta description de cada página principal. Sinal de alerta: títulos duplicados ou vazios.</t>
        </is>
      </c>
      <c r="D22" s="7" t="inlineStr">
        <is>
          <t>title &lt; 60 caracteres · meta description &lt; 155 caracteres · únicos por página</t>
        </is>
      </c>
      <c r="E22" s="7" t="inlineStr">
        <is>
          <t>Escreva title e meta description únicos e descritivos por página, dentro dos limites e com a palavra-chave principal.</t>
        </is>
      </c>
      <c r="F22" s="6" t="inlineStr">
        <is>
          <t>Importante</t>
        </is>
      </c>
      <c r="G22" s="6" t="inlineStr">
        <is>
          <t>Pendente</t>
        </is>
      </c>
      <c r="H22" s="7" t="inlineStr"/>
    </row>
    <row r="23">
      <c r="A23" s="8" t="inlineStr"/>
      <c r="B23" s="9" t="inlineStr">
        <is>
          <t>Hierarquia de headings (H1 único) e URLs amigáveis</t>
        </is>
      </c>
      <c r="C23" s="9" t="inlineStr">
        <is>
          <t>Inspecione os headings: um único H1 (assunto da página) + H2/H3 organizando o conteúdo. Olhe as URLs: curtas, legíveis e com palavras (ex: /servicos/consultoria) em vez de parâmetros.</t>
        </is>
      </c>
      <c r="D23" s="9" t="inlineStr">
        <is>
          <t>H1 único por página · URLs curtas e descritivas</t>
        </is>
      </c>
      <c r="E23" s="9" t="inlineStr">
        <is>
          <t>Ajuste para um H1 por página com H2/H3 hierárquicos; reescreva URLs em slugs descritivos com hífens e aplique redirects 301.</t>
        </is>
      </c>
      <c r="F23" s="8" t="inlineStr">
        <is>
          <t>Bom ter</t>
        </is>
      </c>
      <c r="G23" s="8" t="inlineStr">
        <is>
          <t>Pendente</t>
        </is>
      </c>
      <c r="H23" s="9" t="inlineStr"/>
    </row>
    <row r="24">
      <c r="A24" s="6" t="inlineStr"/>
      <c r="B24" s="7" t="inlineStr">
        <is>
          <t>Sitemap.xml, robots.txt e imagens com alt</t>
        </is>
      </c>
      <c r="C24" s="7" t="inlineStr">
        <is>
          <t>Acesse /sitemap.xml e /robots.txt: o sitemap lista as páginas e o robots.txt não bloqueia o site indevidamente? Veja se as imagens de conteúdo têm atributo alt descritivo.</t>
        </is>
      </c>
      <c r="D24" s="7" t="inlineStr">
        <is>
          <t>sitemap.xml válido · robots.txt correto · alt nas imagens</t>
        </is>
      </c>
      <c r="E24" s="7" t="inlineStr">
        <is>
          <t>Publique o sitemap.xml e envie ao Search Console, revise o robots.txt e adicione alt descritivo às imagens de conteúdo.</t>
        </is>
      </c>
      <c r="F24" s="6" t="inlineStr">
        <is>
          <t>Importante</t>
        </is>
      </c>
      <c r="G24" s="6" t="inlineStr">
        <is>
          <t>Pendente</t>
        </is>
      </c>
      <c r="H24" s="7" t="inlineStr"/>
    </row>
    <row r="25">
      <c r="A25" s="8" t="inlineStr"/>
      <c r="B25" s="9" t="inlineStr">
        <is>
          <t>Google Search Console conectado</t>
        </is>
      </c>
      <c r="C25" s="9" t="inlineStr">
        <is>
          <t>Confirme se a propriedade está verificada no Google Search Console e recebendo dados (cobertura, desempenho).</t>
        </is>
      </c>
      <c r="D25" s="9" t="inlineStr">
        <is>
          <t>Propriedade verificada e com dados</t>
        </is>
      </c>
      <c r="E25" s="9" t="inlineStr">
        <is>
          <t>Verifique a propriedade no Search Console, envie o sitemap e acompanhe erros de cobertura e indexação.</t>
        </is>
      </c>
      <c r="F25" s="8" t="inlineStr">
        <is>
          <t>Importante</t>
        </is>
      </c>
      <c r="G25" s="8" t="inlineStr">
        <is>
          <t>Pendente</t>
        </is>
      </c>
      <c r="H25" s="9" t="inlineStr"/>
    </row>
    <row r="26" ht="20" customHeight="1">
      <c r="A26" s="2" t="inlineStr">
        <is>
          <t>1.5 Conversão, contato e mensuração</t>
        </is>
      </c>
    </row>
    <row r="27">
      <c r="A27" s="6" t="inlineStr"/>
      <c r="B27" s="7" t="inlineStr">
        <is>
          <t>CTA claro de contato</t>
        </is>
      </c>
      <c r="C27" s="7" t="inlineStr">
        <is>
          <t>Veja se há chamada para ação visível para contato/orçamento na home e nas páginas de serviço. Sinal de alerta: visitante não sabe qual é o próximo passo.</t>
        </is>
      </c>
      <c r="D27" s="7" t="inlineStr">
        <is>
          <t>CTA de contato visível em cada página-chave</t>
        </is>
      </c>
      <c r="E27" s="7" t="inlineStr">
        <is>
          <t>Inclua CTAs claros e repetidos (Fale conosco, Solicitar orçamento) com destaque visual, levando ao formulário/WhatsApp.</t>
        </is>
      </c>
      <c r="F27" s="6" t="inlineStr">
        <is>
          <t>Importante</t>
        </is>
      </c>
      <c r="G27" s="6" t="inlineStr">
        <is>
          <t>Pendente</t>
        </is>
      </c>
      <c r="H27" s="7" t="inlineStr"/>
    </row>
    <row r="28">
      <c r="A28" s="8" t="inlineStr"/>
      <c r="B28" s="9" t="inlineStr">
        <is>
          <t>Formulário e/ou WhatsApp funcionando</t>
        </is>
      </c>
      <c r="C28" s="9" t="inlineStr">
        <is>
          <t>Faça um envio de teste no formulário e clique no botão de WhatsApp. Confirme que a mensagem chega e que o número/destino está correto.</t>
        </is>
      </c>
      <c r="D28" s="9" t="inlineStr">
        <is>
          <t>Envio testado e recebido</t>
        </is>
      </c>
      <c r="E28" s="9" t="inlineStr">
        <is>
          <t>Corrija o destino do formulário (e-mail/CRM), valide os campos e teste o link do WhatsApp; configure confirmação ao usuário.</t>
        </is>
      </c>
      <c r="F28" s="8" t="inlineStr">
        <is>
          <t>Crítico</t>
        </is>
      </c>
      <c r="G28" s="8" t="inlineStr">
        <is>
          <t>Pendente</t>
        </is>
      </c>
      <c r="H28" s="9" t="inlineStr"/>
    </row>
    <row r="29">
      <c r="A29" s="6" t="inlineStr"/>
      <c r="B29" s="7" t="inlineStr">
        <is>
          <t>GA4 e rastreamento de conversões</t>
        </is>
      </c>
      <c r="C29" s="7" t="inlineStr">
        <is>
          <t>No Tag Assistant, confirme o GA4 instalado registrando pageviews em tempo real. Verifique se eventos de conversão (formulário, clique no WhatsApp, clique no telefone) estão configurados.</t>
        </is>
      </c>
      <c r="D29" s="7" t="inlineStr">
        <is>
          <t>GA4 ativo + eventos de conversão disparando</t>
        </is>
      </c>
      <c r="E29" s="7" t="inlineStr">
        <is>
          <t>Instale o GA4 (via Google Tag/GTM), configure eventos de conversão para formulário, WhatsApp e telefone e valide o disparo em tempo real.</t>
        </is>
      </c>
      <c r="F29" s="6" t="inlineStr">
        <is>
          <t>Crítico</t>
        </is>
      </c>
      <c r="G29" s="6" t="inlineStr">
        <is>
          <t>Pendente</t>
        </is>
      </c>
      <c r="H29" s="7" t="inlineStr"/>
    </row>
    <row r="30">
      <c r="A30" s="8" t="inlineStr"/>
      <c r="B30" s="9" t="inlineStr">
        <is>
          <t>Integração com CRM</t>
        </is>
      </c>
      <c r="C30" s="9" t="inlineStr">
        <is>
          <t>Veja se os leads do site caem em um CRM ou ao menos em e-mail/planilha organizada. Sinal de alerta: leads só por e-mail solto, sem rastreio.</t>
        </is>
      </c>
      <c r="D30" s="9" t="inlineStr">
        <is>
          <t>Leads integrados a CRM/destino organizado</t>
        </is>
      </c>
      <c r="E30" s="9" t="inlineStr">
        <is>
          <t>Conecte o formulário ao CRM (nativo, Zapier/Make ou API) e padronize a captura de origem (UTMs) dos leads.</t>
        </is>
      </c>
      <c r="F30" s="8" t="inlineStr">
        <is>
          <t>Importante</t>
        </is>
      </c>
      <c r="G30" s="8" t="inlineStr">
        <is>
          <t>Pendente</t>
        </is>
      </c>
      <c r="H30" s="9" t="inlineStr"/>
    </row>
    <row r="31">
      <c r="A31" s="6" t="inlineStr"/>
      <c r="B31" s="7" t="inlineStr">
        <is>
          <t>Mapa/endereço quando físico</t>
        </is>
      </c>
      <c r="C31" s="7" t="inlineStr">
        <is>
          <t>Para negócio com local físico, confira se há endereço e mapa (Google Maps incorporado) na página de contato.</t>
        </is>
      </c>
      <c r="D31" s="7" t="inlineStr">
        <is>
          <t>Endereço + mapa na página de contato</t>
        </is>
      </c>
      <c r="E31" s="7" t="inlineStr">
        <is>
          <t>Adicione endereço completo e mapa incorporado; mantenha o NAP consistente com o Google Meu Negócio. Negócio sem local físico: N/A.</t>
        </is>
      </c>
      <c r="F31" s="6" t="inlineStr">
        <is>
          <t>Bom ter</t>
        </is>
      </c>
      <c r="G31" s="6" t="inlineStr">
        <is>
          <t>Pendente</t>
        </is>
      </c>
      <c r="H31" s="7" t="inlineStr"/>
    </row>
    <row r="32" ht="20" customHeight="1">
      <c r="A32" s="2" t="inlineStr">
        <is>
          <t>1.6 Copy e mensagem</t>
        </is>
      </c>
    </row>
    <row r="33">
      <c r="A33" s="8" t="inlineStr"/>
      <c r="B33" s="9" t="inlineStr">
        <is>
          <t>Teste da substituição na home</t>
        </is>
      </c>
      <c r="C33" s="9" t="inlineStr">
        <is>
          <t>Troque o nome da empresa pelo de um concorrente e releia a primeira dobra. Se o texto continua funcionando, ele é preenchimento — não comunica nada específico. É o problema mais comum em site institucional.</t>
        </is>
      </c>
      <c r="D33" s="9" t="inlineStr">
        <is>
          <t>Copy que só funciona para este negócio</t>
        </is>
      </c>
      <c r="E33" s="9" t="inlineStr">
        <is>
          <t>Reescreva a headline dizendo o que a empresa faz, para quem, e o que muda para o cliente — com um dado concreto (anos, volume, região, tipo de projeto).</t>
        </is>
      </c>
      <c r="F33" s="8" t="inlineStr">
        <is>
          <t>Importante</t>
        </is>
      </c>
      <c r="G33" s="8" t="inlineStr">
        <is>
          <t>Pendente</t>
        </is>
      </c>
      <c r="H33" s="9" t="inlineStr"/>
    </row>
    <row r="34">
      <c r="A34" s="6" t="inlineStr"/>
      <c r="B34" s="7" t="inlineStr">
        <is>
          <t>Páginas de serviço começam pelo problema, não pela descrição</t>
        </is>
      </c>
      <c r="C34" s="7" t="inlineStr">
        <is>
          <t>Abra cada página de serviço: ela abre falando do que a empresa faz, ou do problema que o cliente tem? Página que só descreve o serviço informa, mas não converte.</t>
        </is>
      </c>
      <c r="D34" s="7" t="inlineStr">
        <is>
          <t>Problema do cliente antes da descrição do serviço</t>
        </is>
      </c>
      <c r="E34" s="7" t="inlineStr">
        <is>
          <t>Reestruture: problema → consequência de não resolver → como a empresa resolve → prova → próximo passo.</t>
        </is>
      </c>
      <c r="F34" s="6" t="inlineStr">
        <is>
          <t>Importante</t>
        </is>
      </c>
      <c r="G34" s="6" t="inlineStr">
        <is>
          <t>Pendente</t>
        </is>
      </c>
      <c r="H34" s="7" t="inlineStr"/>
    </row>
    <row r="35">
      <c r="A35" s="8" t="inlineStr"/>
      <c r="B35" s="9" t="inlineStr">
        <is>
          <t>Jargão de setor e linguagem interna</t>
        </is>
      </c>
      <c r="C35" s="9" t="inlineStr">
        <is>
          <t>Marque os termos que só alguém de dentro entende (nomes de processo interno, sigla de norma, jargão técnico sem tradução). Cliente não compra o que não entende.</t>
        </is>
      </c>
      <c r="D35" s="9" t="inlineStr">
        <is>
          <t>Vocabulário do cliente, não da empresa</t>
        </is>
      </c>
      <c r="E35" s="9" t="inlineStr">
        <is>
          <t>Traduza cada termo técnico no efeito prático. Onde a sigla for necessária, explique na primeira ocorrência.</t>
        </is>
      </c>
      <c r="F35" s="8" t="inlineStr">
        <is>
          <t>Importante</t>
        </is>
      </c>
      <c r="G35" s="8" t="inlineStr">
        <is>
          <t>Pendente</t>
        </is>
      </c>
      <c r="H35" s="9" t="inlineStr"/>
    </row>
    <row r="36">
      <c r="A36" s="6" t="inlineStr"/>
      <c r="B36" s="7" t="inlineStr">
        <is>
          <t>Consistência da promessa entre home, serviços e contato</t>
        </is>
      </c>
      <c r="C36" s="7" t="inlineStr">
        <is>
          <t>Leia as três em sequência. A promessa muda de página para página? Mensagem inconsistente faz o visitante recomeçar o entendimento a cada clique e enfraquece a marca.</t>
        </is>
      </c>
      <c r="D36" s="7" t="inlineStr">
        <is>
          <t>Mesma promessa central em todas as páginas</t>
        </is>
      </c>
      <c r="E36" s="7" t="inlineStr">
        <is>
          <t>Defina a mensagem central em uma frase e alinhe as páginas a ela; ajuste títulos e chamadas divergentes.</t>
        </is>
      </c>
      <c r="F36" s="6" t="inlineStr">
        <is>
          <t>Importante</t>
        </is>
      </c>
      <c r="G36" s="6" t="inlineStr">
        <is>
          <t>Pendente</t>
        </is>
      </c>
      <c r="H36" s="7" t="inlineStr"/>
    </row>
    <row r="37">
      <c r="A37" s="8" t="inlineStr"/>
      <c r="B37" s="9" t="inlineStr">
        <is>
          <t>Clichê de mercado e linguagem com cara de texto gerado por IA</t>
        </is>
      </c>
      <c r="C37" s="9" t="inlineStr">
        <is>
          <t>Procure 'soluções sob medida', 'excelência', 'comprometidos com a qualidade', 'parceiro estratégico' e afins. São frases que toda empresa usa — por isso não diferenciam nenhuma.</t>
        </is>
      </c>
      <c r="D37" s="9" t="inlineStr">
        <is>
          <t>Sem frase-padrão de institucional</t>
        </is>
      </c>
      <c r="E37" s="9" t="inlineStr">
        <is>
          <t>Troque cada frase genérica por um fato: número, prazo, caso, região atendida, forma de trabalho.</t>
        </is>
      </c>
      <c r="F37" s="8" t="inlineStr">
        <is>
          <t>Bom ter</t>
        </is>
      </c>
      <c r="G37" s="8" t="inlineStr">
        <is>
          <t>Pendente</t>
        </is>
      </c>
      <c r="H37" s="9" t="inlineStr"/>
    </row>
  </sheetData>
  <mergeCells count="8">
    <mergeCell ref="A4:H4"/>
    <mergeCell ref="A26:H26"/>
    <mergeCell ref="A21:H21"/>
    <mergeCell ref="A16:H16"/>
    <mergeCell ref="A2:H2"/>
    <mergeCell ref="A11:H11"/>
    <mergeCell ref="A1:H1"/>
    <mergeCell ref="A32:H32"/>
  </mergeCells>
  <conditionalFormatting sqref="G4:G37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37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37">
    <cfRule type="expression" priority="9" dxfId="0">
      <formula>A4="✓"</formula>
    </cfRule>
  </conditionalFormatting>
  <dataValidations count="2">
    <dataValidation sqref="G4:G37" showDropDown="0" showInputMessage="0" showErrorMessage="0" allowBlank="1" type="list">
      <formula1>_Listas!$A$1:$A$5</formula1>
    </dataValidation>
    <dataValidation sqref="A4:A37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10" customWidth="1" min="5" max="5"/>
    <col width="11" customWidth="1" min="6" max="6"/>
    <col width="8" customWidth="1" min="7" max="7"/>
    <col width="14" customWidth="1" min="8" max="8"/>
  </cols>
  <sheetData>
    <row r="1" ht="30" customHeight="1">
      <c r="A1" s="1" t="inlineStr">
        <is>
          <t>RESUMO DA AUDITORIA</t>
        </is>
      </c>
    </row>
    <row r="2" ht="18" customHeight="1">
      <c r="A2" s="2" t="inlineStr">
        <is>
          <t>V4 Company  ·  preenche automaticamente conforme o Status</t>
        </is>
      </c>
    </row>
    <row r="3" ht="24" customHeight="1">
      <c r="A3" s="5" t="inlineStr">
        <is>
          <t>Frente</t>
        </is>
      </c>
      <c r="B3" s="5" t="inlineStr">
        <is>
          <t>Itens</t>
        </is>
      </c>
      <c r="C3" s="5" t="inlineStr">
        <is>
          <t>OK</t>
        </is>
      </c>
      <c r="D3" s="5" t="inlineStr">
        <is>
          <t>Ajustar</t>
        </is>
      </c>
      <c r="E3" s="5" t="inlineStr">
        <is>
          <t>Crítico</t>
        </is>
      </c>
      <c r="F3" s="5" t="inlineStr">
        <is>
          <t>Pendente</t>
        </is>
      </c>
      <c r="G3" s="5" t="inlineStr">
        <is>
          <t>N/A</t>
        </is>
      </c>
      <c r="H3" s="5" t="inlineStr">
        <is>
          <t>% revisado</t>
        </is>
      </c>
    </row>
    <row r="4">
      <c r="A4" s="10" t="inlineStr">
        <is>
          <t>Site Institucional</t>
        </is>
      </c>
      <c r="B4" s="11">
        <f>SUM(C4:G4)</f>
        <v/>
      </c>
      <c r="C4" s="11">
        <f>COUNTIF('Site Institucional'!G:G,"OK")</f>
        <v/>
      </c>
      <c r="D4" s="11">
        <f>COUNTIF('Site Institucional'!G:G,"Ajustar")</f>
        <v/>
      </c>
      <c r="E4" s="11">
        <f>COUNTIF('Site Institucional'!G:G,"Crítico")</f>
        <v/>
      </c>
      <c r="F4" s="11">
        <f>COUNTIF('Site Institucional'!G:G,"Pendente")</f>
        <v/>
      </c>
      <c r="G4" s="11">
        <f>COUNTIF('Site Institucional'!G:G,"N/A")</f>
        <v/>
      </c>
      <c r="H4" s="12">
        <f>IF(B4=0,0,(C4+G4)/B4)</f>
        <v/>
      </c>
    </row>
    <row r="5">
      <c r="A5" s="13" t="inlineStr">
        <is>
          <t>TOTAL</t>
        </is>
      </c>
      <c r="B5" s="14">
        <f>SUM(B4:B4)</f>
        <v/>
      </c>
      <c r="C5" s="14">
        <f>SUM(C4:C4)</f>
        <v/>
      </c>
      <c r="D5" s="14">
        <f>SUM(D4:D4)</f>
        <v/>
      </c>
      <c r="E5" s="14">
        <f>SUM(E4:E4)</f>
        <v/>
      </c>
      <c r="F5" s="14">
        <f>SUM(F4:F4)</f>
        <v/>
      </c>
      <c r="G5" s="14">
        <f>SUM(G4:G4)</f>
        <v/>
      </c>
      <c r="H5" s="15">
        <f>IF(B5=0,0,(C5+G5)/B5)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</row>
    <row r="2">
      <c r="A2" t="inlineStr">
        <is>
          <t>OK</t>
        </is>
      </c>
    </row>
    <row r="3">
      <c r="A3" t="inlineStr">
        <is>
          <t>Ajustar</t>
        </is>
      </c>
    </row>
    <row r="4">
      <c r="A4" t="inlineStr">
        <is>
          <t>Crítico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2026-07-21T14:57:23Z</dcterms:created>
  <dcterms:modified xsi:type="dcterms:W3CDTF">2026-07-21T14:57:23Z</dcterms:modified>
</cp:coreProperties>
</file>