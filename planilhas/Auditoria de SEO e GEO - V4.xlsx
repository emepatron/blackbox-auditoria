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SEO e GEO" sheetId="2" state="visible" r:id="rId2"/>
    <sheet name="Resumo" sheetId="3" state="visible" r:id="rId3"/>
    <sheet name="_Lista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A0A0A"/>
      <sz val="12"/>
    </font>
    <font>
      <name val="Arial"/>
      <color rgb="000A0A0A"/>
      <sz val="10"/>
    </font>
  </fonts>
  <fills count="7">
    <fill>
      <patternFill/>
    </fill>
    <fill>
      <patternFill patternType="gray125"/>
    </fill>
    <fill>
      <patternFill patternType="solid">
        <fgColor rgb="00FF0037"/>
      </patternFill>
    </fill>
    <fill>
      <patternFill patternType="solid">
        <fgColor rgb="000A0A0A"/>
      </patternFill>
    </fill>
    <fill>
      <patternFill patternType="solid">
        <fgColor rgb="003A3A42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AEAEC"/>
      </left>
      <right style="thin">
        <color rgb="00EAEAEC"/>
      </right>
      <top style="thin">
        <color rgb="00EAEAEC"/>
      </top>
      <bottom style="thin">
        <color rgb="00EAEA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9" fontId="4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9" fontId="2" fillId="3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color rgb="00166534"/>
      </font>
      <fill>
        <patternFill patternType="solid">
          <fgColor rgb="00DCFCE7"/>
        </patternFill>
      </fill>
    </dxf>
    <dxf>
      <font>
        <color rgb="0092400E"/>
      </font>
      <fill>
        <patternFill patternType="solid">
          <fgColor rgb="00FEF3C7"/>
        </patternFill>
      </fill>
    </dxf>
    <dxf>
      <font>
        <color rgb="00991B1B"/>
      </font>
      <fill>
        <patternFill patternType="solid">
          <fgColor rgb="00FEE2E2"/>
        </patternFill>
      </fill>
    </dxf>
    <dxf>
      <font>
        <color rgb="005A5A62"/>
      </font>
      <fill>
        <patternFill patternType="solid">
          <fgColor rgb="00E5E7EB"/>
        </patternFill>
      </fill>
    </dxf>
    <dxf>
      <font>
        <color rgb="005A5A62"/>
      </font>
      <fill>
        <patternFill patternType="solid">
          <fgColor rgb="00F4F4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 ht="30" customHeight="1">
      <c r="A1" s="1" t="inlineStr">
        <is>
          <t>AUDITORIA DE SEO E GEO</t>
        </is>
      </c>
    </row>
    <row r="2" ht="18" customHeight="1">
      <c r="A2" s="2" t="inlineStr">
        <is>
          <t>V4 Company  ·  Como usar esta auditoria</t>
        </is>
      </c>
    </row>
    <row r="4">
      <c r="B4" s="3" t="inlineStr">
        <is>
          <t>Para que serve</t>
        </is>
      </c>
    </row>
    <row r="5">
      <c r="B5" s="4" t="inlineStr">
        <is>
          <t>•  Auditar a presença em busca orgânica (SEO) e a otimização para mecanismos de IA generativa (GEO).</t>
        </is>
      </c>
    </row>
    <row r="6">
      <c r="B6" s="4" t="inlineStr">
        <is>
          <t>•  GEO = Generative Engine Optimization: otimizar para ser citado por ChatGPT, Perplexity e Google AI Overviews/Gemini.</t>
        </is>
      </c>
    </row>
    <row r="7">
      <c r="B7" s="4" t="inlineStr">
        <is>
          <t>•  Identificar falhas técnicas, de conteúdo e de mensuração antes que travem o tráfego orgânico e a visibilidade em IA.</t>
        </is>
      </c>
    </row>
    <row r="9">
      <c r="B9" s="3" t="inlineStr">
        <is>
          <t>Passo a passo</t>
        </is>
      </c>
    </row>
    <row r="10">
      <c r="B10" s="4" t="inlineStr">
        <is>
          <t>1. Tenha acesso ao Google Search Console e ao GA4 do site antes de começar (necessários para vários itens).</t>
        </is>
      </c>
    </row>
    <row r="11">
      <c r="B11" s="4" t="inlineStr">
        <is>
          <t>2. Audite as seções 1.1 a 1.3 (SEO técnico, on-page, conteúdo e autoridade) — a base orgânica.</t>
        </is>
      </c>
    </row>
    <row r="12">
      <c r="B12" s="4" t="inlineStr">
        <is>
          <t>3. Audite a seção 1.4 (GEO): é a parte nova de 2026; itens marcados '(validar)' ainda estão se consolidando, confirme no contexto do cliente.</t>
        </is>
      </c>
    </row>
    <row r="13">
      <c r="B13" s="4" t="inlineStr">
        <is>
          <t>4. Para cada item: leia 'Como auditar', compare com o 'Benchmark', defina o Status e anote em Observações.</t>
        </is>
      </c>
    </row>
    <row r="14">
      <c r="B14" s="4" t="inlineStr">
        <is>
          <t>5. Quando o Status for Ajustar/Crítico, registre o plano com base na coluna 'Como corrigir'.</t>
        </is>
      </c>
    </row>
    <row r="15">
      <c r="B15" s="4" t="inlineStr">
        <is>
          <t>6. Acompanhe o progresso na aba Resumo (preenche automaticamente).</t>
        </is>
      </c>
    </row>
    <row r="17">
      <c r="B17" s="3" t="inlineStr">
        <is>
          <t>Como ler as colunas</t>
        </is>
      </c>
    </row>
    <row r="18">
      <c r="B18" s="4" t="inlineStr">
        <is>
          <t>•  Como auditar — onde olhar e o que verificar em cada ponto.</t>
        </is>
      </c>
    </row>
    <row r="19">
      <c r="B19" s="4" t="inlineStr">
        <is>
          <t>•  Benchmark / Referência 2026 — número de comparação. '(validar)' = confirmar no contexto do cliente.</t>
        </is>
      </c>
    </row>
    <row r="20">
      <c r="B20" s="4" t="inlineStr">
        <is>
          <t>•  Como corrigir — o que fazer quando o ponto está fora do esperado.</t>
        </is>
      </c>
    </row>
    <row r="21">
      <c r="B21" s="4" t="inlineStr">
        <is>
          <t>•  Criticidade — Crítico (resolver já) · Importante (resolver no ciclo) · Bom ter (ganho marginal).</t>
        </is>
      </c>
    </row>
    <row r="22">
      <c r="B22" s="4" t="inlineStr">
        <is>
          <t>•  Status — Pendente / OK / Ajustar / Crítico / N/A (menu suspenso). A aba Resumo conta sozinha.</t>
        </is>
      </c>
    </row>
    <row r="23">
      <c r="B23" s="4" t="inlineStr">
        <is>
          <t>•  Coluna ✓ — selecione o ✓ para marcar o item como revisado (fica verde).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58" customWidth="1" min="3" max="3"/>
    <col width="26" customWidth="1" min="4" max="4"/>
    <col width="50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1" t="inlineStr">
        <is>
          <t>AUDITORIA DE SEO E GEO</t>
        </is>
      </c>
    </row>
    <row r="2" ht="18" customHeight="1">
      <c r="A2" s="2" t="inlineStr">
        <is>
          <t>V4 Company  ·  SEO e GEO</t>
        </is>
      </c>
    </row>
    <row r="3" ht="24" customHeight="1">
      <c r="A3" s="5" t="inlineStr">
        <is>
          <t>✓</t>
        </is>
      </c>
      <c r="B3" s="5" t="inlineStr">
        <is>
          <t>Item</t>
        </is>
      </c>
      <c r="C3" s="5" t="inlineStr">
        <is>
          <t>Como auditar (passo a passo + pontos de atenção)</t>
        </is>
      </c>
      <c r="D3" s="5" t="inlineStr">
        <is>
          <t>Benchmark / Referência 2026</t>
        </is>
      </c>
      <c r="E3" s="5" t="inlineStr">
        <is>
          <t>Como corrigir</t>
        </is>
      </c>
      <c r="F3" s="5" t="inlineStr">
        <is>
          <t>Criticidade</t>
        </is>
      </c>
      <c r="G3" s="5" t="inlineStr">
        <is>
          <t>Status</t>
        </is>
      </c>
      <c r="H3" s="5" t="inlineStr">
        <is>
          <t>Observações</t>
        </is>
      </c>
    </row>
    <row r="4" ht="20" customHeight="1">
      <c r="A4" s="2" t="inlineStr">
        <is>
          <t>1.1 SEO técnico</t>
        </is>
      </c>
    </row>
    <row r="5">
      <c r="A5" s="6" t="inlineStr"/>
      <c r="B5" s="7" t="inlineStr">
        <is>
          <t>Indexação no Google (Search Console)</t>
        </is>
      </c>
      <c r="C5" s="7" t="inlineStr">
        <is>
          <t>No Google Search Console, abra Páginas (Indexação): compare páginas indexadas vs. não indexadas/bloqueadas. Veja os motivos das exclusões (noindex, bloqueada por robots, canônica alternativa, 404). Site fora do índice = invisível na busca.</t>
        </is>
      </c>
      <c r="D5" s="7" t="inlineStr">
        <is>
          <t>Páginas-chave 100% indexadas</t>
        </is>
      </c>
      <c r="E5" s="7" t="inlineStr">
        <is>
          <t>Remova noindex/bloqueios indevidos; corrija erros de rastreamento; envie URLs para indexação; ajuste canônicas.</t>
        </is>
      </c>
      <c r="F5" s="6" t="inlineStr">
        <is>
          <t>Crítico</t>
        </is>
      </c>
      <c r="G5" s="6" t="inlineStr">
        <is>
          <t>Pendente</t>
        </is>
      </c>
      <c r="H5" s="7" t="inlineStr"/>
    </row>
    <row r="6">
      <c r="A6" s="8" t="inlineStr"/>
      <c r="B6" s="9" t="inlineStr">
        <is>
          <t>sitemap.xml e robots.txt corretos</t>
        </is>
      </c>
      <c r="C6" s="9" t="inlineStr">
        <is>
          <t>Acesse /sitemap.xml e /robots.txt. Confira se o sitemap lista as URLs canônicas atuais (sem 404/redirect) e está declarado no robots.txt. Verifique se o robots.txt não bloqueia recursos ou seções importantes por engano.</t>
        </is>
      </c>
      <c r="D6" s="9" t="inlineStr">
        <is>
          <t>Sitemap enviado no GSC · robots sem bloqueio indevido</t>
        </is>
      </c>
      <c r="E6" s="9" t="inlineStr">
        <is>
          <t>Regenere o sitemap; declare-o no robots.txt e envie no GSC; remova regras Disallow que bloqueiem páginas relevantes.</t>
        </is>
      </c>
      <c r="F6" s="8" t="inlineStr">
        <is>
          <t>Importante</t>
        </is>
      </c>
      <c r="G6" s="8" t="inlineStr">
        <is>
          <t>Pendente</t>
        </is>
      </c>
      <c r="H6" s="9" t="inlineStr"/>
    </row>
    <row r="7">
      <c r="A7" s="6" t="inlineStr"/>
      <c r="B7" s="7" t="inlineStr">
        <is>
          <t>Core Web Vitals dentro da meta</t>
        </is>
      </c>
      <c r="C7" s="7" t="inlineStr">
        <is>
          <t>No GSC (Core Web Vitals) ou PageSpeed Insights/CrUX, veja LCP, INP e CLS em mobile e desktop, no campo (dados reais). Avalie o % de URLs 'Boas'.</t>
        </is>
      </c>
      <c r="D7" s="7" t="inlineStr">
        <is>
          <t>LCP &lt; 2,5s · INP &lt; 200ms · CLS &lt; 0,1</t>
        </is>
      </c>
      <c r="E7" s="7" t="inlineStr">
        <is>
          <t>Otimize imagens e fontes (LCP); reduza JS/long tasks (INP); reserve espaço para mídia/anúncios (CLS).</t>
        </is>
      </c>
      <c r="F7" s="6" t="inlineStr">
        <is>
          <t>Importante</t>
        </is>
      </c>
      <c r="G7" s="6" t="inlineStr">
        <is>
          <t>Pendente</t>
        </is>
      </c>
      <c r="H7" s="7" t="inlineStr"/>
    </row>
    <row r="8">
      <c r="A8" s="8" t="inlineStr"/>
      <c r="B8" s="9" t="inlineStr">
        <is>
          <t>Mobile-first, HTTPS, canônicas e duplicação</t>
        </is>
      </c>
      <c r="C8" s="9" t="inlineStr">
        <is>
          <t>Confirme HTTPS em todo o site (sem conteúdo misto), responsividade mobile (o Google indexa pela versão mobile) e canônicas apontando para a URL preferida. Procure conteúdo duplicado (www/sem-www, http/https, parâmetros, paginação) e avalie clareza/profundidade das URLs e a rastreabilidade (páginas importantes a poucos cliques da home).</t>
        </is>
      </c>
      <c r="D8" s="9" t="inlineStr">
        <is>
          <t>HTTPS forçado · responsivo · canônica única · URLs limpas</t>
        </is>
      </c>
      <c r="E8" s="9" t="inlineStr">
        <is>
          <t>Force HTTPS (301 + HSTS); garanta paridade mobile/desktop; aplique rel=canonical; consolide duplicatas com canônica/301; padronize URLs descritivas.</t>
        </is>
      </c>
      <c r="F8" s="8" t="inlineStr">
        <is>
          <t>Importante</t>
        </is>
      </c>
      <c r="G8" s="8" t="inlineStr">
        <is>
          <t>Pendente</t>
        </is>
      </c>
      <c r="H8" s="9" t="inlineStr"/>
    </row>
    <row r="9" ht="20" customHeight="1">
      <c r="A9" s="2" t="inlineStr">
        <is>
          <t>1.2 SEO on-page</t>
        </is>
      </c>
    </row>
    <row r="10">
      <c r="A10" s="6" t="inlineStr"/>
      <c r="B10" s="7" t="inlineStr">
        <is>
          <t>Title e meta description únicos e otimizados</t>
        </is>
      </c>
      <c r="C10" s="7" t="inlineStr">
        <is>
          <t>Audite os &lt;title&gt; e &lt;meta description&gt; das páginas-chave: devem ser únicos, descritivos, alinhados à intenção de busca e dentro do limite de exibição. Evite títulos duplicados ou genéricos.</t>
        </is>
      </c>
      <c r="D10" s="7" t="inlineStr">
        <is>
          <t>Title &lt; 60 caracteres · meta description &lt; 155 caracteres</t>
        </is>
      </c>
      <c r="E10" s="7" t="inlineStr">
        <is>
          <t>Reescreva titles/descriptions por página com a palavra-chave principal e proposta de valor; elimine duplicidades.</t>
        </is>
      </c>
      <c r="F10" s="6" t="inlineStr">
        <is>
          <t>Importante</t>
        </is>
      </c>
      <c r="G10" s="6" t="inlineStr">
        <is>
          <t>Pendente</t>
        </is>
      </c>
      <c r="H10" s="7" t="inlineStr"/>
    </row>
    <row r="11">
      <c r="A11" s="8" t="inlineStr"/>
      <c r="B11" s="9" t="inlineStr">
        <is>
          <t>Hierarquia de headings (H1 único)</t>
        </is>
      </c>
      <c r="C11" s="9" t="inlineStr">
        <is>
          <t>Verifique se cada página tem um único H1 coerente com o tema, e se H2/H3 estruturam o conteúdo de forma lógica (sem pular níveis nem usar heading só por estilo).</t>
        </is>
      </c>
      <c r="D11" s="9" t="inlineStr">
        <is>
          <t>1 H1 por página · hierarquia H2/H3 lógica</t>
        </is>
      </c>
      <c r="E11" s="9" t="inlineStr">
        <is>
          <t>Defina um H1 claro por página; reorganize subtítulos em hierarquia; não use headings apenas para formatação.</t>
        </is>
      </c>
      <c r="F11" s="8" t="inlineStr">
        <is>
          <t>Importante</t>
        </is>
      </c>
      <c r="G11" s="8" t="inlineStr">
        <is>
          <t>Pendente</t>
        </is>
      </c>
      <c r="H11" s="9" t="inlineStr"/>
    </row>
    <row r="12">
      <c r="A12" s="6" t="inlineStr"/>
      <c r="B12" s="7" t="inlineStr">
        <is>
          <t>Correspondência com a intenção de busca</t>
        </is>
      </c>
      <c r="C12" s="7" t="inlineStr">
        <is>
          <t>Para as palavras-chave-alvo, compare o conteúdo da página com o tipo de resultado que o Google já rankeia (informacional, transacional, comparativo). Conteúdo desalinhado da intenção não ranqueia.</t>
        </is>
      </c>
      <c r="D12" s="7" t="inlineStr">
        <is>
          <t>Formato e profundidade compatíveis com a intenção</t>
        </is>
      </c>
      <c r="E12" s="7" t="inlineStr">
        <is>
          <t>Ajuste o formato (guia, página de produto, comparativo) ao que a SERP premia; cubra o que o usuário realmente busca.</t>
        </is>
      </c>
      <c r="F12" s="6" t="inlineStr">
        <is>
          <t>Importante</t>
        </is>
      </c>
      <c r="G12" s="6" t="inlineStr">
        <is>
          <t>Pendente</t>
        </is>
      </c>
      <c r="H12" s="7" t="inlineStr"/>
    </row>
    <row r="13">
      <c r="A13" s="8" t="inlineStr"/>
      <c r="B13" s="9" t="inlineStr">
        <is>
          <t>Palavras-chave, links internos e alt em imagens</t>
        </is>
      </c>
      <c r="C13" s="9" t="inlineStr">
        <is>
          <t>Veja se as palavras-chave aparecem de forma natural (title, H1, introdução, corpo, alt) sem keyword stuffing. Confira links internos contextuais com âncora descritiva ligando páginas relacionadas e o atributo alt nas imagens relevantes. Avalie a profundidade e qualidade do conteúdo (responde melhor que os concorrentes?).</t>
        </is>
      </c>
      <c r="D13" s="9" t="inlineStr">
        <is>
          <t>Uso natural de keywords · links internos com âncora descritiva · alt presente</t>
        </is>
      </c>
      <c r="E13" s="9" t="inlineStr">
        <is>
          <t>Reescreva com linguagem natural e termos relacionados; adicione links internos entre conteúdos; escreva alt descritivo; aprofunde conteúdos rasos.</t>
        </is>
      </c>
      <c r="F13" s="8" t="inlineStr">
        <is>
          <t>Bom ter</t>
        </is>
      </c>
      <c r="G13" s="8" t="inlineStr">
        <is>
          <t>Pendente</t>
        </is>
      </c>
      <c r="H13" s="9" t="inlineStr"/>
    </row>
    <row r="14" ht="20" customHeight="1">
      <c r="A14" s="2" t="inlineStr">
        <is>
          <t>1.3 Conteúdo e autoridade</t>
        </is>
      </c>
    </row>
    <row r="15">
      <c r="A15" s="6" t="inlineStr"/>
      <c r="B15" s="7" t="inlineStr">
        <is>
          <t>Autoridade temática (cobertura do nicho)</t>
        </is>
      </c>
      <c r="C15" s="7" t="inlineStr">
        <is>
          <t>Avalie se o site cobre os principais tópicos e subtópicos do nicho (topic clusters), não apenas páginas isoladas. Cobertura ampla e conectada sinaliza autoridade no tema.</t>
        </is>
      </c>
      <c r="D15" s="7" t="inlineStr">
        <is>
          <t>Clusters de conteúdo cobrindo o nicho</t>
        </is>
      </c>
      <c r="E15" s="7" t="inlineStr">
        <is>
          <t>Mapeie tópicos do nicho; crie conteúdo-pilar + apoio interligados por links internos.</t>
        </is>
      </c>
      <c r="F15" s="6" t="inlineStr">
        <is>
          <t>Importante</t>
        </is>
      </c>
      <c r="G15" s="6" t="inlineStr">
        <is>
          <t>Pendente</t>
        </is>
      </c>
      <c r="H15" s="7" t="inlineStr"/>
    </row>
    <row r="16">
      <c r="A16" s="8" t="inlineStr"/>
      <c r="B16" s="9" t="inlineStr">
        <is>
          <t>Blog/conteúdo atualizado com frequência</t>
        </is>
      </c>
      <c r="C16" s="9" t="inlineStr">
        <is>
          <t>Veja a data e a cadência de publicação/atualização. Conteúdo desatualizado perde relevância; conteúdo sem cadência sinaliza site parado.</t>
        </is>
      </c>
      <c r="D16" s="9" t="inlineStr">
        <is>
          <t>Cadência regular · conteúdos-chave revisados</t>
        </is>
      </c>
      <c r="E16" s="9" t="inlineStr">
        <is>
          <t>Defina calendário editorial; atualize e republique conteúdos antigos relevantes.</t>
        </is>
      </c>
      <c r="F16" s="8" t="inlineStr">
        <is>
          <t>Bom ter</t>
        </is>
      </c>
      <c r="G16" s="8" t="inlineStr">
        <is>
          <t>Pendente</t>
        </is>
      </c>
      <c r="H16" s="9" t="inlineStr"/>
    </row>
    <row r="17">
      <c r="A17" s="6" t="inlineStr"/>
      <c r="B17" s="7" t="inlineStr">
        <is>
          <t>Perfil de backlinks (qualidade &gt; quantidade)</t>
        </is>
      </c>
      <c r="C17" s="7" t="inlineStr">
        <is>
          <t>Com uma ferramenta de SEO (ou GSC &gt; Links), avalie domínios de referência: priorize links de sites relevantes e confiáveis. Volume de links tóxicos/spam é risco.</t>
        </is>
      </c>
      <c r="D17" s="7" t="inlineStr">
        <is>
          <t>Backlinks de domínios relevantes e confiáveis</t>
        </is>
      </c>
      <c r="E17" s="7" t="inlineStr">
        <is>
          <t>Conquiste links por conteúdo/PR/parcerias; desautorize ou ignore links tóxicos conforme o caso.</t>
        </is>
      </c>
      <c r="F17" s="6" t="inlineStr">
        <is>
          <t>Importante</t>
        </is>
      </c>
      <c r="G17" s="6" t="inlineStr">
        <is>
          <t>Pendente</t>
        </is>
      </c>
      <c r="H17" s="7" t="inlineStr"/>
    </row>
    <row r="18">
      <c r="A18" s="8" t="inlineStr"/>
      <c r="B18" s="9" t="inlineStr">
        <is>
          <t>Sinais de E-E-A-T</t>
        </is>
      </c>
      <c r="C18" s="9" t="inlineStr">
        <is>
          <t>Verifique sinais de Experiência, Expertise, Autoridade e Confiança: autoria identificada, credenciais, fontes citadas, páginas Sobre/Contato, prova social. Crítico em nichos YMYL (saúde, finanças).</t>
        </is>
      </c>
      <c r="D18" s="9" t="inlineStr">
        <is>
          <t>Autoria + credenciais + fontes + páginas de confiança</t>
        </is>
      </c>
      <c r="E18" s="9" t="inlineStr">
        <is>
          <t>Adicione bios de autor, credenciais e fontes; reforce páginas institucionais e provas; cite referências.</t>
        </is>
      </c>
      <c r="F18" s="8" t="inlineStr">
        <is>
          <t>Importante</t>
        </is>
      </c>
      <c r="G18" s="8" t="inlineStr">
        <is>
          <t>Pendente</t>
        </is>
      </c>
      <c r="H18" s="9" t="inlineStr"/>
    </row>
    <row r="19">
      <c r="A19" s="6" t="inlineStr"/>
      <c r="B19" s="7" t="inlineStr">
        <is>
          <t>Dados estruturados / Schema.org</t>
        </is>
      </c>
      <c r="C19" s="7" t="inlineStr">
        <is>
          <t>Confira marcação de dados estruturados (Article, FAQ, LocalBusiness, Product, Breadcrumb conforme o caso) com o Teste de Resultados Aprimorados / Schema Validator. Habilita rich snippets e ajuda a IA a entender o conteúdo.</t>
        </is>
      </c>
      <c r="D19" s="7" t="inlineStr">
        <is>
          <t>Schema válido e adequado ao tipo de página</t>
        </is>
      </c>
      <c r="E19" s="7" t="inlineStr">
        <is>
          <t>Implemente JSON-LD apropriado por tipo de página; corrija erros/avisos no validador.</t>
        </is>
      </c>
      <c r="F19" s="6" t="inlineStr">
        <is>
          <t>Importante</t>
        </is>
      </c>
      <c r="G19" s="6" t="inlineStr">
        <is>
          <t>Pendente</t>
        </is>
      </c>
      <c r="H19" s="7" t="inlineStr"/>
    </row>
    <row r="20" ht="20" customHeight="1">
      <c r="A20" s="2" t="inlineStr">
        <is>
          <t>1.4 GEO — otimização para IA generativa</t>
        </is>
      </c>
    </row>
    <row r="21">
      <c r="A21" s="8" t="inlineStr"/>
      <c r="B21" s="9" t="inlineStr">
        <is>
          <t>Conteúdo estruturado e citável por LLMs</t>
        </is>
      </c>
      <c r="C21" s="9" t="inlineStr">
        <is>
          <t>Avalie se o conteúdo entrega respostas diretas e objetivas (definições, listas, passo a passo, tabelas) que uma IA generativa consegue extrair e citar. Texto vago e prolixo é menos citável.</t>
        </is>
      </c>
      <c r="D21" s="9" t="inlineStr">
        <is>
          <t>Respostas diretas, listas e definições claras (validar)</t>
        </is>
      </c>
      <c r="E21" s="9" t="inlineStr">
        <is>
          <t>Reescreva trechos-chave com respostas objetivas no topo; use listas, definições e tabelas; responda perguntas reais.</t>
        </is>
      </c>
      <c r="F21" s="8" t="inlineStr">
        <is>
          <t>Importante</t>
        </is>
      </c>
      <c r="G21" s="8" t="inlineStr">
        <is>
          <t>Pendente</t>
        </is>
      </c>
      <c r="H21" s="9" t="inlineStr"/>
    </row>
    <row r="22">
      <c r="A22" s="6" t="inlineStr"/>
      <c r="B22" s="7" t="inlineStr">
        <is>
          <t>Presença/menção da marca nas respostas de IA</t>
        </is>
      </c>
      <c r="C22" s="7" t="inlineStr">
        <is>
          <t>Faça perguntas relevantes do nicho no ChatGPT, Perplexity e Google AI Overviews/Gemini e observe se a marca/site é citado ou recomendado. É a métrica central de GEO, ainda em consolidação.</t>
        </is>
      </c>
      <c r="D22" s="7" t="inlineStr">
        <is>
          <t>Marca citada em respostas-chave do nicho (validar)</t>
        </is>
      </c>
      <c r="E22" s="7" t="inlineStr">
        <is>
          <t>Fortaleça conteúdo citável e autoridade de terceiros; cubra as perguntas onde a marca deveria aparecer.</t>
        </is>
      </c>
      <c r="F22" s="6" t="inlineStr">
        <is>
          <t>Importante</t>
        </is>
      </c>
      <c r="G22" s="6" t="inlineStr">
        <is>
          <t>Pendente</t>
        </is>
      </c>
      <c r="H22" s="7" t="inlineStr"/>
    </row>
    <row r="23">
      <c r="A23" s="8" t="inlineStr"/>
      <c r="B23" s="9" t="inlineStr">
        <is>
          <t>Blocos de FAQ e respostas objetivas</t>
        </is>
      </c>
      <c r="C23" s="9" t="inlineStr">
        <is>
          <t>Verifique se páginas-chave têm FAQ com perguntas reais e respostas curtas e objetivas (e idealmente marcação FAQ Schema). Formato favorito de mecanismos de IA e de AI Overviews.</t>
        </is>
      </c>
      <c r="D23" s="9" t="inlineStr">
        <is>
          <t>FAQ com respostas objetivas + FAQ Schema (validar)</t>
        </is>
      </c>
      <c r="E23" s="9" t="inlineStr">
        <is>
          <t>Adicione FAQs com as dúvidas reais do público; respostas diretas; marque com FAQPage Schema quando aplicável.</t>
        </is>
      </c>
      <c r="F23" s="8" t="inlineStr">
        <is>
          <t>Bom ter</t>
        </is>
      </c>
      <c r="G23" s="8" t="inlineStr">
        <is>
          <t>Pendente</t>
        </is>
      </c>
      <c r="H23" s="9" t="inlineStr"/>
    </row>
    <row r="24">
      <c r="A24" s="6" t="inlineStr"/>
      <c r="B24" s="7" t="inlineStr">
        <is>
          <t>Clareza factual e fontes/estatísticas citáveis</t>
        </is>
      </c>
      <c r="C24" s="7" t="inlineStr">
        <is>
          <t>Avalie se o conteúdo traz dados, números e fontes verificáveis. LLMs tendem a citar conteúdo factual, específico e atribuível em vez de texto genérico.</t>
        </is>
      </c>
      <c r="D24" s="7" t="inlineStr">
        <is>
          <t>Dados e fontes verificáveis no conteúdo (validar)</t>
        </is>
      </c>
      <c r="E24" s="7" t="inlineStr">
        <is>
          <t>Inclua estatísticas, exemplos e fontes citáveis; seja específico e factual; atualize dados antigos.</t>
        </is>
      </c>
      <c r="F24" s="6" t="inlineStr">
        <is>
          <t>Importante</t>
        </is>
      </c>
      <c r="G24" s="6" t="inlineStr">
        <is>
          <t>Pendente</t>
        </is>
      </c>
      <c r="H24" s="7" t="inlineStr"/>
    </row>
    <row r="25">
      <c r="A25" s="8" t="inlineStr"/>
      <c r="B25" s="9" t="inlineStr">
        <is>
          <t>Menções e citações da marca em fontes de terceiros</t>
        </is>
      </c>
      <c r="C25" s="9" t="inlineStr">
        <is>
          <t>Cheque se a marca é mencionada/citada em sites confiáveis do nicho (mídia, diretórios, reviews, fóruns). LLMs aprendem e citam a partir dessas fontes externas, não só do site próprio.</t>
        </is>
      </c>
      <c r="D25" s="9" t="inlineStr">
        <is>
          <t>Menções em fontes confiáveis de terceiros (validar)</t>
        </is>
      </c>
      <c r="E25" s="9" t="inlineStr">
        <is>
          <t>Busque PR, parcerias, presença em diretórios e veículos do nicho; estimule reviews e citações externas.</t>
        </is>
      </c>
      <c r="F25" s="8" t="inlineStr">
        <is>
          <t>Importante</t>
        </is>
      </c>
      <c r="G25" s="8" t="inlineStr">
        <is>
          <t>Pendente</t>
        </is>
      </c>
      <c r="H25" s="9" t="inlineStr"/>
    </row>
    <row r="26">
      <c r="A26" s="6" t="inlineStr"/>
      <c r="B26" s="7" t="inlineStr">
        <is>
          <t>Arquivo llms.txt (emergente)</t>
        </is>
      </c>
      <c r="C26" s="7" t="inlineStr">
        <is>
          <t>Verifique a existência de /llms.txt — proposta emergente para orientar mecanismos de IA sobre o conteúdo do site. Adoção e efeito ainda não consolidados pelos principais players.</t>
        </is>
      </c>
      <c r="D26" s="7" t="inlineStr">
        <is>
          <t>llms.txt presente (emergente — validar)</t>
        </is>
      </c>
      <c r="E26" s="7" t="inlineStr">
        <is>
          <t>Avalie publicar um llms.txt apontando o conteúdo principal; trate como experimento, não como fator confirmado.</t>
        </is>
      </c>
      <c r="F26" s="6" t="inlineStr">
        <is>
          <t>Bom ter</t>
        </is>
      </c>
      <c r="G26" s="6" t="inlineStr">
        <is>
          <t>Pendente</t>
        </is>
      </c>
      <c r="H26" s="7" t="inlineStr"/>
    </row>
    <row r="27" ht="20" customHeight="1">
      <c r="A27" s="2" t="inlineStr">
        <is>
          <t>1.5 Mensuração e local</t>
        </is>
      </c>
    </row>
    <row r="28">
      <c r="A28" s="8" t="inlineStr"/>
      <c r="B28" s="9" t="inlineStr">
        <is>
          <t>Google Search Console + GA4 configurados</t>
        </is>
      </c>
      <c r="C28" s="9" t="inlineStr">
        <is>
          <t>Confirme GSC e GA4 instalados, verificados e coletando dados. Sem essas ferramentas não há como medir busca orgânica de forma confiável.</t>
        </is>
      </c>
      <c r="D28" s="9" t="inlineStr">
        <is>
          <t>GSC verificado + GA4 ativo</t>
        </is>
      </c>
      <c r="E28" s="9" t="inlineStr">
        <is>
          <t>Configure/valide GSC e GA4; vincule as duas ferramentas; confira a coleta de dados.</t>
        </is>
      </c>
      <c r="F28" s="8" t="inlineStr">
        <is>
          <t>Crítico</t>
        </is>
      </c>
      <c r="G28" s="8" t="inlineStr">
        <is>
          <t>Pendente</t>
        </is>
      </c>
      <c r="H28" s="9" t="inlineStr"/>
    </row>
    <row r="29">
      <c r="A29" s="6" t="inlineStr"/>
      <c r="B29" s="7" t="inlineStr">
        <is>
          <t>Acompanhamento de posições/rankings</t>
        </is>
      </c>
      <c r="C29" s="7" t="inlineStr">
        <is>
          <t>Veja se há acompanhamento de posições das palavras-chave-alvo (GSC &gt; Desempenho ou ferramenta de rank tracking) com evolução ao longo do tempo.</t>
        </is>
      </c>
      <c r="D29" s="7" t="inlineStr">
        <is>
          <t>Ranking das keywords-chave monitorado</t>
        </is>
      </c>
      <c r="E29" s="7" t="inlineStr">
        <is>
          <t>Defina o conjunto de keywords-alvo; acompanhe posição média e cliques/impressões no GSC.</t>
        </is>
      </c>
      <c r="F29" s="6" t="inlineStr">
        <is>
          <t>Importante</t>
        </is>
      </c>
      <c r="G29" s="6" t="inlineStr">
        <is>
          <t>Pendente</t>
        </is>
      </c>
      <c r="H29" s="7" t="inlineStr"/>
    </row>
    <row r="30">
      <c r="A30" s="8" t="inlineStr"/>
      <c r="B30" s="9" t="inlineStr">
        <is>
          <t>Tráfego e conversões orgânicas (GA4)</t>
        </is>
      </c>
      <c r="C30" s="9" t="inlineStr">
        <is>
          <t>No GA4, isole o canal Organic Search e avalie sessões, engajamento e conversões. SEO sem leitura de conversão vira métrica de vaidade.</t>
        </is>
      </c>
      <c r="D30" s="9" t="inlineStr">
        <is>
          <t>Tráfego e conversões orgânicas medidos</t>
        </is>
      </c>
      <c r="E30" s="9" t="inlineStr">
        <is>
          <t>Marque eventos de conversão no GA4; acompanhe o canal orgânico; relacione conteúdo a resultado.</t>
        </is>
      </c>
      <c r="F30" s="8" t="inlineStr">
        <is>
          <t>Importante</t>
        </is>
      </c>
      <c r="G30" s="8" t="inlineStr">
        <is>
          <t>Pendente</t>
        </is>
      </c>
      <c r="H30" s="9" t="inlineStr"/>
    </row>
    <row r="31">
      <c r="A31" s="6" t="inlineStr"/>
      <c r="B31" s="7" t="inlineStr">
        <is>
          <t>Tráfego vindo de ferramentas de IA</t>
        </is>
      </c>
      <c r="C31" s="7" t="inlineStr">
        <is>
          <t>No GA4, procure referral de origens como chatgpt.com, perplexity.ai e similares para estimar tráfego vindo de IA generativa. Rastreamento parcial e em evolução.</t>
        </is>
      </c>
      <c r="D31" s="7" t="inlineStr">
        <is>
          <t>Referral de IA monitorado quando rastreável (validar)</t>
        </is>
      </c>
      <c r="E31" s="7" t="inlineStr">
        <is>
          <t>Crie segmento/relatório para referrals de IA; trate como sinal direcional, não número fechado.</t>
        </is>
      </c>
      <c r="F31" s="6" t="inlineStr">
        <is>
          <t>Bom ter</t>
        </is>
      </c>
      <c r="G31" s="6" t="inlineStr">
        <is>
          <t>Pendente</t>
        </is>
      </c>
      <c r="H31" s="7" t="inlineStr"/>
    </row>
    <row r="32">
      <c r="A32" s="8" t="inlineStr"/>
      <c r="B32" s="9" t="inlineStr">
        <is>
          <t>Cruzamento com Google Business Profile (SEO local)</t>
        </is>
      </c>
      <c r="C32" s="9" t="inlineStr">
        <is>
          <t>Para negócios locais, cheque o cruzamento entre SEO do site e o Perfil da Empresa no Google (NAP consistente, páginas locais, schema LocalBusiness) para reforçar a busca local.</t>
        </is>
      </c>
      <c r="D32" s="9" t="inlineStr">
        <is>
          <t>NAP consistente entre site e GBP · schema LocalBusiness</t>
        </is>
      </c>
      <c r="E32" s="9" t="inlineStr">
        <is>
          <t>Padronize NAP no site e no GBP; crie páginas locais; aplique LocalBusiness Schema.</t>
        </is>
      </c>
      <c r="F32" s="8" t="inlineStr">
        <is>
          <t>Bom ter</t>
        </is>
      </c>
      <c r="G32" s="8" t="inlineStr">
        <is>
          <t>Pendente</t>
        </is>
      </c>
      <c r="H32" s="9" t="inlineStr"/>
    </row>
    <row r="33" ht="20" customHeight="1">
      <c r="A33" s="2" t="inlineStr">
        <is>
          <t>1.6 Copy de busca</t>
        </is>
      </c>
    </row>
    <row r="34">
      <c r="A34" s="6" t="inlineStr"/>
      <c r="B34" s="7" t="inlineStr">
        <is>
          <t>Title e meta description ganham o clique, não só a posição</t>
        </is>
      </c>
      <c r="C34" s="7" t="inlineStr">
        <is>
          <t>Leia os títulos e descrições como quem está na página de resultados escolhendo entre dez links. Eles trazem promessa e diferença, ou só repetem a palavra-chave? Posição boa com CTR baixo é copy fraca, não SEO fraco.</t>
        </is>
      </c>
      <c r="D34" s="7" t="inlineStr">
        <is>
          <t>CTR do Search Console acima da média da posição</t>
        </is>
      </c>
      <c r="E34" s="7" t="inlineStr">
        <is>
          <t>Reescreva com benefício e especificidade dentro do limite (title ~60 caracteres, description ~155). Priorize as páginas com boa posição e CTR abaixo do esperado.</t>
        </is>
      </c>
      <c r="F34" s="6" t="inlineStr">
        <is>
          <t>Importante</t>
        </is>
      </c>
      <c r="G34" s="6" t="inlineStr">
        <is>
          <t>Pendente</t>
        </is>
      </c>
      <c r="H34" s="7" t="inlineStr"/>
    </row>
    <row r="35">
      <c r="A35" s="8" t="inlineStr"/>
      <c r="B35" s="9" t="inlineStr">
        <is>
          <t>Abertura do conteúdo responde à pergunta nas primeiras linhas</t>
        </is>
      </c>
      <c r="C35" s="9" t="inlineStr">
        <is>
          <t>Veja se o texto responde direto ou enrola com introdução. Vale para o leitor (que escaneia) e para IA generativa, que cita trecho objetivo e autossuficiente — introdução longa não é citada.</t>
        </is>
      </c>
      <c r="D35" s="9" t="inlineStr">
        <is>
          <t>Resposta objetiva nas 2 primeiras linhas</t>
        </is>
      </c>
      <c r="E35" s="9" t="inlineStr">
        <is>
          <t>Comece com a resposta em uma ou duas frases; depois desenvolva. Corte a introdução de aquecimento.</t>
        </is>
      </c>
      <c r="F35" s="8" t="inlineStr">
        <is>
          <t>Importante</t>
        </is>
      </c>
      <c r="G35" s="8" t="inlineStr">
        <is>
          <t>Pendente</t>
        </is>
      </c>
      <c r="H35" s="9" t="inlineStr"/>
    </row>
    <row r="36">
      <c r="A36" s="6" t="inlineStr"/>
      <c r="B36" s="7" t="inlineStr">
        <is>
          <t>Vocabulário do público, não o interno da empresa</t>
        </is>
      </c>
      <c r="C36" s="7" t="inlineStr">
        <is>
          <t>Compare os termos do conteúdo com os termos reais de busca (Search Console, sugestões do Google). Empresa que escreve com o nome interno do produto não aparece para quem busca pelo nome do problema.</t>
        </is>
      </c>
      <c r="D36" s="7" t="inlineStr">
        <is>
          <t>Termos do conteúdo = termos de busca reais</t>
        </is>
      </c>
      <c r="E36" s="7" t="inlineStr">
        <is>
          <t>Adote o vocabulário do público no title, H1 e primeiras linhas; mantenha o termo interno como secundário.</t>
        </is>
      </c>
      <c r="F36" s="6" t="inlineStr">
        <is>
          <t>Importante</t>
        </is>
      </c>
      <c r="G36" s="6" t="inlineStr">
        <is>
          <t>Pendente</t>
        </is>
      </c>
      <c r="H36" s="7" t="inlineStr"/>
    </row>
  </sheetData>
  <mergeCells count="8">
    <mergeCell ref="A9:H9"/>
    <mergeCell ref="A4:H4"/>
    <mergeCell ref="A20:H20"/>
    <mergeCell ref="A2:H2"/>
    <mergeCell ref="A33:H33"/>
    <mergeCell ref="A14:H14"/>
    <mergeCell ref="A1:H1"/>
    <mergeCell ref="A27:H27"/>
  </mergeCells>
  <conditionalFormatting sqref="G4:G36">
    <cfRule type="cellIs" priority="1" operator="equal" dxfId="0">
      <formula>"OK"</formula>
    </cfRule>
    <cfRule type="cellIs" priority="2" operator="equal" dxfId="1">
      <formula>"Ajustar"</formula>
    </cfRule>
    <cfRule type="cellIs" priority="3" operator="equal" dxfId="2">
      <formula>"Crítico"</formula>
    </cfRule>
    <cfRule type="cellIs" priority="4" operator="equal" dxfId="3">
      <formula>"N/A"</formula>
    </cfRule>
    <cfRule type="cellIs" priority="5" operator="equal" dxfId="4">
      <formula>"Pendente"</formula>
    </cfRule>
  </conditionalFormatting>
  <conditionalFormatting sqref="F4:F36">
    <cfRule type="cellIs" priority="6" operator="equal" dxfId="2">
      <formula>"Crítico"</formula>
    </cfRule>
    <cfRule type="cellIs" priority="7" operator="equal" dxfId="1">
      <formula>"Importante"</formula>
    </cfRule>
    <cfRule type="cellIs" priority="8" operator="equal" dxfId="3">
      <formula>"Bom ter"</formula>
    </cfRule>
  </conditionalFormatting>
  <conditionalFormatting sqref="A4:A36">
    <cfRule type="expression" priority="9" dxfId="0">
      <formula>A4="✓"</formula>
    </cfRule>
  </conditionalFormatting>
  <dataValidations count="2">
    <dataValidation sqref="G4:G36" showDropDown="0" showInputMessage="0" showErrorMessage="0" allowBlank="1" type="list">
      <formula1>_Listas!$A$1:$A$5</formula1>
    </dataValidation>
    <dataValidation sqref="A4:A36" showDropDown="0" showInputMessage="0" showErrorMessage="0" allowBlank="1" type="list">
      <formula1>_Listas!$B$1:$B$1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10" customWidth="1" min="4" max="4"/>
    <col width="10" customWidth="1" min="5" max="5"/>
    <col width="11" customWidth="1" min="6" max="6"/>
    <col width="8" customWidth="1" min="7" max="7"/>
    <col width="14" customWidth="1" min="8" max="8"/>
  </cols>
  <sheetData>
    <row r="1" ht="30" customHeight="1">
      <c r="A1" s="1" t="inlineStr">
        <is>
          <t>RESUMO DA AUDITORIA</t>
        </is>
      </c>
    </row>
    <row r="2" ht="18" customHeight="1">
      <c r="A2" s="2" t="inlineStr">
        <is>
          <t>V4 Company  ·  preenche automaticamente conforme o Status</t>
        </is>
      </c>
    </row>
    <row r="3" ht="24" customHeight="1">
      <c r="A3" s="5" t="inlineStr">
        <is>
          <t>Frente</t>
        </is>
      </c>
      <c r="B3" s="5" t="inlineStr">
        <is>
          <t>Itens</t>
        </is>
      </c>
      <c r="C3" s="5" t="inlineStr">
        <is>
          <t>OK</t>
        </is>
      </c>
      <c r="D3" s="5" t="inlineStr">
        <is>
          <t>Ajustar</t>
        </is>
      </c>
      <c r="E3" s="5" t="inlineStr">
        <is>
          <t>Crítico</t>
        </is>
      </c>
      <c r="F3" s="5" t="inlineStr">
        <is>
          <t>Pendente</t>
        </is>
      </c>
      <c r="G3" s="5" t="inlineStr">
        <is>
          <t>N/A</t>
        </is>
      </c>
      <c r="H3" s="5" t="inlineStr">
        <is>
          <t>% revisado</t>
        </is>
      </c>
    </row>
    <row r="4">
      <c r="A4" s="10" t="inlineStr">
        <is>
          <t>SEO e GEO</t>
        </is>
      </c>
      <c r="B4" s="11">
        <f>SUM(C4:G4)</f>
        <v/>
      </c>
      <c r="C4" s="11">
        <f>COUNTIF('SEO e GEO'!G:G,"OK")</f>
        <v/>
      </c>
      <c r="D4" s="11">
        <f>COUNTIF('SEO e GEO'!G:G,"Ajustar")</f>
        <v/>
      </c>
      <c r="E4" s="11">
        <f>COUNTIF('SEO e GEO'!G:G,"Crítico")</f>
        <v/>
      </c>
      <c r="F4" s="11">
        <f>COUNTIF('SEO e GEO'!G:G,"Pendente")</f>
        <v/>
      </c>
      <c r="G4" s="11">
        <f>COUNTIF('SEO e GEO'!G:G,"N/A")</f>
        <v/>
      </c>
      <c r="H4" s="12">
        <f>IF(B4=0,0,(C4+G4)/B4)</f>
        <v/>
      </c>
    </row>
    <row r="5">
      <c r="A5" s="13" t="inlineStr">
        <is>
          <t>TOTAL</t>
        </is>
      </c>
      <c r="B5" s="14">
        <f>SUM(B4:B4)</f>
        <v/>
      </c>
      <c r="C5" s="14">
        <f>SUM(C4:C4)</f>
        <v/>
      </c>
      <c r="D5" s="14">
        <f>SUM(D4:D4)</f>
        <v/>
      </c>
      <c r="E5" s="14">
        <f>SUM(E4:E4)</f>
        <v/>
      </c>
      <c r="F5" s="14">
        <f>SUM(F4:F4)</f>
        <v/>
      </c>
      <c r="G5" s="14">
        <f>SUM(G4:G4)</f>
        <v/>
      </c>
      <c r="H5" s="15">
        <f>IF(B5=0,0,(C5+G5)/B5)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Pendente</t>
        </is>
      </c>
      <c r="B1" t="inlineStr">
        <is>
          <t>✓</t>
        </is>
      </c>
    </row>
    <row r="2">
      <c r="A2" t="inlineStr">
        <is>
          <t>OK</t>
        </is>
      </c>
    </row>
    <row r="3">
      <c r="A3" t="inlineStr">
        <is>
          <t>Ajustar</t>
        </is>
      </c>
    </row>
    <row r="4">
      <c r="A4" t="inlineStr">
        <is>
          <t>Crítico</t>
        </is>
      </c>
    </row>
    <row r="5">
      <c r="A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2026-07-21T14:57:23Z</dcterms:created>
  <dcterms:modified xsi:type="dcterms:W3CDTF">2026-07-21T14:57:23Z</dcterms:modified>
</cp:coreProperties>
</file>